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\srs-benchmark-rust\"/>
    </mc:Choice>
  </mc:AlternateContent>
  <xr:revisionPtr revIDLastSave="0" documentId="13_ncr:1_{50B34D93-09DE-49DE-AC4F-5A93CDC2FF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9" i="1" l="1"/>
  <c r="J99" i="1"/>
  <c r="H99" i="1"/>
  <c r="F9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L98" i="1"/>
  <c r="J98" i="1"/>
  <c r="H98" i="1"/>
  <c r="F98" i="1"/>
  <c r="L97" i="1"/>
  <c r="J97" i="1"/>
  <c r="H97" i="1"/>
  <c r="F97" i="1"/>
  <c r="L96" i="1"/>
  <c r="J96" i="1"/>
  <c r="H96" i="1"/>
  <c r="F96" i="1"/>
  <c r="L95" i="1"/>
  <c r="J95" i="1"/>
  <c r="H95" i="1"/>
  <c r="F95" i="1"/>
  <c r="L94" i="1"/>
  <c r="J94" i="1"/>
  <c r="H94" i="1"/>
  <c r="F94" i="1"/>
  <c r="L93" i="1"/>
  <c r="J93" i="1"/>
  <c r="H93" i="1"/>
  <c r="F93" i="1"/>
  <c r="L92" i="1"/>
  <c r="J92" i="1"/>
  <c r="H92" i="1"/>
  <c r="F92" i="1"/>
  <c r="L91" i="1"/>
  <c r="J91" i="1"/>
  <c r="H91" i="1"/>
  <c r="F91" i="1"/>
  <c r="L90" i="1"/>
  <c r="J90" i="1"/>
  <c r="H90" i="1"/>
  <c r="F90" i="1"/>
  <c r="L89" i="1"/>
  <c r="J89" i="1"/>
  <c r="H89" i="1"/>
  <c r="F89" i="1"/>
  <c r="L88" i="1"/>
  <c r="J88" i="1"/>
  <c r="H88" i="1"/>
  <c r="F88" i="1"/>
  <c r="L87" i="1"/>
  <c r="J87" i="1"/>
  <c r="H87" i="1"/>
  <c r="F87" i="1"/>
  <c r="L86" i="1"/>
  <c r="J86" i="1"/>
  <c r="H86" i="1"/>
  <c r="F86" i="1"/>
  <c r="L85" i="1"/>
  <c r="J85" i="1"/>
  <c r="H85" i="1"/>
  <c r="F85" i="1"/>
  <c r="L84" i="1"/>
  <c r="J84" i="1"/>
  <c r="H84" i="1"/>
  <c r="F84" i="1"/>
  <c r="L83" i="1"/>
  <c r="J83" i="1"/>
  <c r="H83" i="1"/>
  <c r="F83" i="1"/>
  <c r="L82" i="1"/>
  <c r="J82" i="1"/>
  <c r="H82" i="1"/>
  <c r="F82" i="1"/>
  <c r="L81" i="1"/>
  <c r="J81" i="1"/>
  <c r="H81" i="1"/>
  <c r="F81" i="1"/>
  <c r="L80" i="1"/>
  <c r="J80" i="1"/>
  <c r="H80" i="1"/>
  <c r="F80" i="1"/>
  <c r="L79" i="1"/>
  <c r="J79" i="1"/>
  <c r="H79" i="1"/>
  <c r="F79" i="1"/>
  <c r="L78" i="1"/>
  <c r="J78" i="1"/>
  <c r="H78" i="1"/>
  <c r="F78" i="1"/>
  <c r="L77" i="1"/>
  <c r="J77" i="1"/>
  <c r="H77" i="1"/>
  <c r="F77" i="1"/>
  <c r="L76" i="1"/>
  <c r="J76" i="1"/>
  <c r="H76" i="1"/>
  <c r="F76" i="1"/>
  <c r="L75" i="1"/>
  <c r="J75" i="1"/>
  <c r="H75" i="1"/>
  <c r="F75" i="1"/>
  <c r="L74" i="1"/>
  <c r="J74" i="1"/>
  <c r="H74" i="1"/>
  <c r="F74" i="1"/>
  <c r="L73" i="1"/>
  <c r="J73" i="1"/>
  <c r="H73" i="1"/>
  <c r="F73" i="1"/>
  <c r="L72" i="1"/>
  <c r="J72" i="1"/>
  <c r="H72" i="1"/>
  <c r="F72" i="1"/>
  <c r="L71" i="1"/>
  <c r="J71" i="1"/>
  <c r="H71" i="1"/>
  <c r="F71" i="1"/>
  <c r="L70" i="1"/>
  <c r="J70" i="1"/>
  <c r="H70" i="1"/>
  <c r="F70" i="1"/>
  <c r="L69" i="1"/>
  <c r="J69" i="1"/>
  <c r="H69" i="1"/>
  <c r="F69" i="1"/>
  <c r="L68" i="1"/>
  <c r="J68" i="1"/>
  <c r="H68" i="1"/>
  <c r="F68" i="1"/>
  <c r="L67" i="1"/>
  <c r="J67" i="1"/>
  <c r="H67" i="1"/>
  <c r="F67" i="1"/>
  <c r="L66" i="1"/>
  <c r="J66" i="1"/>
  <c r="H66" i="1"/>
  <c r="F66" i="1"/>
  <c r="L65" i="1"/>
  <c r="J65" i="1"/>
  <c r="H65" i="1"/>
  <c r="F65" i="1"/>
  <c r="L64" i="1"/>
  <c r="J64" i="1"/>
  <c r="H64" i="1"/>
  <c r="F64" i="1"/>
  <c r="L63" i="1"/>
  <c r="J63" i="1"/>
  <c r="H63" i="1"/>
  <c r="F63" i="1"/>
  <c r="L62" i="1"/>
  <c r="J62" i="1"/>
  <c r="H62" i="1"/>
  <c r="F62" i="1"/>
  <c r="L61" i="1"/>
  <c r="J61" i="1"/>
  <c r="H61" i="1"/>
  <c r="F61" i="1"/>
  <c r="L60" i="1"/>
  <c r="J60" i="1"/>
  <c r="H60" i="1"/>
  <c r="F60" i="1"/>
  <c r="L59" i="1"/>
  <c r="J59" i="1"/>
  <c r="H59" i="1"/>
  <c r="F59" i="1"/>
  <c r="L58" i="1"/>
  <c r="J58" i="1"/>
  <c r="H58" i="1"/>
  <c r="F58" i="1"/>
  <c r="L57" i="1"/>
  <c r="J57" i="1"/>
  <c r="H57" i="1"/>
  <c r="F57" i="1"/>
  <c r="L56" i="1"/>
  <c r="J56" i="1"/>
  <c r="H56" i="1"/>
  <c r="F56" i="1"/>
  <c r="L55" i="1"/>
  <c r="J55" i="1"/>
  <c r="H55" i="1"/>
  <c r="F55" i="1"/>
  <c r="L54" i="1"/>
  <c r="J54" i="1"/>
  <c r="H54" i="1"/>
  <c r="F54" i="1"/>
  <c r="L53" i="1"/>
  <c r="J53" i="1"/>
  <c r="H53" i="1"/>
  <c r="F53" i="1"/>
  <c r="L52" i="1"/>
  <c r="J52" i="1"/>
  <c r="H52" i="1"/>
  <c r="F52" i="1"/>
  <c r="L51" i="1"/>
  <c r="J51" i="1"/>
  <c r="H51" i="1"/>
  <c r="F51" i="1"/>
  <c r="L50" i="1"/>
  <c r="J50" i="1"/>
  <c r="H50" i="1"/>
  <c r="F50" i="1"/>
  <c r="L49" i="1"/>
  <c r="J49" i="1"/>
  <c r="H49" i="1"/>
  <c r="F49" i="1"/>
  <c r="L48" i="1"/>
  <c r="J48" i="1"/>
  <c r="H48" i="1"/>
  <c r="F48" i="1"/>
  <c r="L47" i="1"/>
  <c r="J47" i="1"/>
  <c r="H47" i="1"/>
  <c r="F47" i="1"/>
  <c r="L46" i="1"/>
  <c r="J46" i="1"/>
  <c r="H46" i="1"/>
  <c r="F46" i="1"/>
  <c r="L45" i="1"/>
  <c r="J45" i="1"/>
  <c r="H45" i="1"/>
  <c r="F45" i="1"/>
  <c r="L44" i="1"/>
  <c r="J44" i="1"/>
  <c r="H44" i="1"/>
  <c r="F44" i="1"/>
  <c r="L43" i="1"/>
  <c r="J43" i="1"/>
  <c r="H43" i="1"/>
  <c r="F43" i="1"/>
  <c r="L42" i="1"/>
  <c r="J42" i="1"/>
  <c r="H42" i="1"/>
  <c r="F42" i="1"/>
  <c r="L41" i="1"/>
  <c r="J41" i="1"/>
  <c r="H41" i="1"/>
  <c r="F41" i="1"/>
  <c r="L40" i="1"/>
  <c r="J40" i="1"/>
  <c r="H40" i="1"/>
  <c r="F40" i="1"/>
  <c r="L39" i="1"/>
  <c r="J39" i="1"/>
  <c r="H39" i="1"/>
  <c r="F39" i="1"/>
  <c r="L38" i="1"/>
  <c r="J38" i="1"/>
  <c r="H38" i="1"/>
  <c r="F38" i="1"/>
  <c r="L37" i="1"/>
  <c r="J37" i="1"/>
  <c r="H37" i="1"/>
  <c r="F37" i="1"/>
  <c r="L36" i="1"/>
  <c r="J36" i="1"/>
  <c r="H36" i="1"/>
  <c r="F36" i="1"/>
  <c r="L35" i="1"/>
  <c r="J35" i="1"/>
  <c r="H35" i="1"/>
  <c r="F35" i="1"/>
  <c r="L34" i="1"/>
  <c r="J34" i="1"/>
  <c r="H34" i="1"/>
  <c r="F34" i="1"/>
  <c r="L33" i="1"/>
  <c r="J33" i="1"/>
  <c r="H33" i="1"/>
  <c r="F33" i="1"/>
  <c r="D33" i="1"/>
  <c r="C33" i="1"/>
  <c r="L32" i="1"/>
  <c r="J32" i="1"/>
  <c r="H32" i="1"/>
  <c r="F32" i="1"/>
  <c r="D32" i="1"/>
  <c r="C32" i="1"/>
  <c r="L31" i="1"/>
  <c r="J31" i="1"/>
  <c r="H31" i="1"/>
  <c r="F31" i="1"/>
  <c r="D31" i="1"/>
  <c r="C31" i="1"/>
  <c r="L30" i="1"/>
  <c r="J30" i="1"/>
  <c r="H30" i="1"/>
  <c r="F30" i="1"/>
  <c r="D30" i="1"/>
  <c r="C30" i="1"/>
  <c r="L29" i="1"/>
  <c r="J29" i="1"/>
  <c r="H29" i="1"/>
  <c r="F29" i="1"/>
  <c r="D29" i="1"/>
  <c r="C29" i="1"/>
  <c r="L28" i="1"/>
  <c r="J28" i="1"/>
  <c r="H28" i="1"/>
  <c r="F28" i="1"/>
  <c r="D28" i="1"/>
  <c r="C28" i="1"/>
  <c r="L27" i="1"/>
  <c r="J27" i="1"/>
  <c r="H27" i="1"/>
  <c r="F27" i="1"/>
  <c r="D27" i="1"/>
  <c r="C27" i="1"/>
  <c r="L26" i="1"/>
  <c r="J26" i="1"/>
  <c r="H26" i="1"/>
  <c r="F26" i="1"/>
  <c r="D26" i="1"/>
  <c r="C26" i="1"/>
  <c r="L25" i="1"/>
  <c r="J25" i="1"/>
  <c r="H25" i="1"/>
  <c r="F25" i="1"/>
  <c r="D25" i="1"/>
  <c r="C25" i="1"/>
  <c r="L24" i="1"/>
  <c r="J24" i="1"/>
  <c r="H24" i="1"/>
  <c r="F24" i="1"/>
  <c r="D24" i="1"/>
  <c r="C24" i="1"/>
  <c r="L23" i="1"/>
  <c r="J23" i="1"/>
  <c r="H23" i="1"/>
  <c r="F23" i="1"/>
  <c r="D23" i="1"/>
  <c r="C23" i="1"/>
  <c r="L22" i="1"/>
  <c r="J22" i="1"/>
  <c r="H22" i="1"/>
  <c r="F22" i="1"/>
  <c r="D22" i="1"/>
  <c r="C22" i="1"/>
  <c r="L21" i="1"/>
  <c r="J21" i="1"/>
  <c r="H21" i="1"/>
  <c r="F21" i="1"/>
  <c r="D21" i="1"/>
  <c r="C21" i="1"/>
  <c r="L20" i="1"/>
  <c r="J20" i="1"/>
  <c r="H20" i="1"/>
  <c r="F20" i="1"/>
  <c r="D20" i="1"/>
  <c r="C20" i="1"/>
  <c r="L19" i="1"/>
  <c r="J19" i="1"/>
  <c r="H19" i="1"/>
  <c r="F19" i="1"/>
  <c r="D19" i="1"/>
  <c r="C19" i="1"/>
  <c r="L18" i="1"/>
  <c r="J18" i="1"/>
  <c r="H18" i="1"/>
  <c r="F18" i="1"/>
  <c r="D18" i="1"/>
  <c r="C18" i="1"/>
  <c r="L17" i="1"/>
  <c r="J17" i="1"/>
  <c r="H17" i="1"/>
  <c r="F17" i="1"/>
  <c r="D17" i="1"/>
  <c r="C17" i="1"/>
  <c r="L16" i="1"/>
  <c r="J16" i="1"/>
  <c r="H16" i="1"/>
  <c r="F16" i="1"/>
  <c r="D16" i="1"/>
  <c r="C16" i="1"/>
  <c r="L15" i="1"/>
  <c r="J15" i="1"/>
  <c r="H15" i="1"/>
  <c r="F15" i="1"/>
  <c r="D15" i="1"/>
  <c r="C15" i="1"/>
  <c r="L14" i="1"/>
  <c r="J14" i="1"/>
  <c r="H14" i="1"/>
  <c r="F14" i="1"/>
  <c r="D14" i="1"/>
  <c r="C14" i="1"/>
  <c r="L13" i="1"/>
  <c r="J13" i="1"/>
  <c r="H13" i="1"/>
  <c r="F13" i="1"/>
  <c r="D13" i="1"/>
  <c r="C13" i="1"/>
  <c r="L12" i="1"/>
  <c r="J12" i="1"/>
  <c r="H12" i="1"/>
  <c r="F12" i="1"/>
  <c r="D12" i="1"/>
  <c r="C12" i="1"/>
  <c r="L11" i="1"/>
  <c r="J11" i="1"/>
  <c r="H11" i="1"/>
  <c r="F11" i="1"/>
  <c r="D11" i="1"/>
  <c r="C11" i="1"/>
  <c r="L10" i="1"/>
  <c r="J10" i="1"/>
  <c r="H10" i="1"/>
  <c r="F10" i="1"/>
  <c r="D10" i="1"/>
  <c r="C10" i="1"/>
  <c r="L9" i="1"/>
  <c r="J9" i="1"/>
  <c r="H9" i="1"/>
  <c r="F9" i="1"/>
  <c r="D9" i="1"/>
  <c r="C9" i="1"/>
  <c r="L8" i="1"/>
  <c r="J8" i="1"/>
  <c r="H8" i="1"/>
  <c r="F8" i="1"/>
  <c r="D8" i="1"/>
  <c r="C8" i="1"/>
  <c r="L7" i="1"/>
  <c r="J7" i="1"/>
  <c r="H7" i="1"/>
  <c r="F7" i="1"/>
  <c r="D7" i="1"/>
  <c r="C7" i="1"/>
  <c r="L6" i="1"/>
  <c r="J6" i="1"/>
  <c r="H6" i="1"/>
  <c r="F6" i="1"/>
  <c r="D6" i="1"/>
  <c r="C6" i="1"/>
  <c r="L5" i="1"/>
  <c r="J5" i="1"/>
  <c r="H5" i="1"/>
  <c r="F5" i="1"/>
  <c r="D5" i="1"/>
  <c r="C5" i="1"/>
  <c r="L4" i="1"/>
  <c r="J4" i="1"/>
  <c r="H4" i="1"/>
  <c r="F4" i="1"/>
  <c r="D4" i="1"/>
  <c r="C4" i="1"/>
  <c r="L3" i="1"/>
  <c r="J3" i="1"/>
  <c r="H3" i="1"/>
  <c r="F3" i="1"/>
  <c r="D3" i="1"/>
  <c r="C3" i="1"/>
</calcChain>
</file>

<file path=xl/sharedStrings.xml><?xml version="1.0" encoding="utf-8"?>
<sst xmlns="http://schemas.openxmlformats.org/spreadsheetml/2006/main" count="215" uniqueCount="35">
  <si>
    <t>Experiment
number</t>
  </si>
  <si>
    <t>Version</t>
  </si>
  <si>
    <t>Threshold for
Mahalanobis</t>
  </si>
  <si>
    <t>Linkage
method</t>
  </si>
  <si>
    <t>weight=users</t>
  </si>
  <si>
    <t>weight=reviews</t>
  </si>
  <si>
    <t>log loss</t>
  </si>
  <si>
    <t>Δlog loss (rel.)</t>
  </si>
  <si>
    <t>RMSE (bins)</t>
  </si>
  <si>
    <t>ΔRMSE (rel.)</t>
  </si>
  <si>
    <t>FSRS-7-short-secs</t>
  </si>
  <si>
    <t>FSRS-7-short-secs-smart</t>
  </si>
  <si>
    <t>mcs=2, ms=1</t>
  </si>
  <si>
    <t>HDBSCAN (eom)</t>
  </si>
  <si>
    <t>HDBSCAN (leaf)</t>
  </si>
  <si>
    <t>mcs=2, ms=5</t>
  </si>
  <si>
    <t>mcs=5, ms=1</t>
  </si>
  <si>
    <t>mcs=5, ms=5</t>
  </si>
  <si>
    <t>mcs=10, ms=1</t>
  </si>
  <si>
    <t>mcs=10, ms=5</t>
  </si>
  <si>
    <t>mcs=20, ms=1</t>
  </si>
  <si>
    <t>mcs=20, ms=5</t>
  </si>
  <si>
    <t>FSRS-7-short-secs-smart-kl</t>
  </si>
  <si>
    <t>single</t>
  </si>
  <si>
    <t>complete</t>
  </si>
  <si>
    <t>average</t>
  </si>
  <si>
    <t>centroid</t>
  </si>
  <si>
    <t>ward</t>
  </si>
  <si>
    <t>FSRS-7-short-secs-smart-opt</t>
  </si>
  <si>
    <t>BIC</t>
  </si>
  <si>
    <t>optimal (Maha pre-merge)</t>
  </si>
  <si>
    <t>AIC</t>
  </si>
  <si>
    <t>optimal (KL pre-merge)</t>
  </si>
  <si>
    <t>1000 users</t>
  </si>
  <si>
    <t>50 298 310 reviews (same-day reviews included)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</si>
</sst>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topLeftCell="A65" workbookViewId="0">
      <selection activeCell="N74" sqref="N74"/>
    </sheetView>
  </sheetViews>
  <sheetFormatPr defaultRowHeight="15" x14ac:dyDescent="0.25"/>
  <cols>
    <col min="1" max="1" width="11.28515625" style="1" bestFit="1" customWidth="1"/>
    <col min="2" max="2" width="26.5703125" style="1" bestFit="1" customWidth="1"/>
    <col min="3" max="3" width="12.85546875" style="1" bestFit="1" customWidth="1"/>
    <col min="4" max="4" width="15.5703125" style="1" bestFit="1" customWidth="1"/>
    <col min="5" max="5" width="7.5703125" style="6" bestFit="1" customWidth="1"/>
    <col min="6" max="6" width="13.7109375" style="8" bestFit="1" customWidth="1"/>
    <col min="7" max="7" width="11.42578125" style="8" bestFit="1" customWidth="1"/>
    <col min="8" max="8" width="11.85546875" style="8" bestFit="1" customWidth="1"/>
    <col min="9" max="9" width="7.5703125" style="6" bestFit="1" customWidth="1"/>
    <col min="10" max="10" width="13.7109375" style="8" bestFit="1" customWidth="1"/>
    <col min="11" max="11" width="11.42578125" style="8" bestFit="1" customWidth="1"/>
    <col min="12" max="12" width="11.85546875" style="8" bestFit="1" customWidth="1"/>
    <col min="13" max="13" width="9.140625" style="1" customWidth="1"/>
    <col min="14" max="16384" width="9.140625" style="1"/>
  </cols>
  <sheetData>
    <row r="1" spans="1:12" x14ac:dyDescent="0.2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3"/>
      <c r="G1" s="3"/>
      <c r="H1" s="3"/>
      <c r="I1" s="3" t="s">
        <v>5</v>
      </c>
      <c r="J1" s="3"/>
      <c r="K1" s="3"/>
      <c r="L1" s="3"/>
    </row>
    <row r="2" spans="1:12" x14ac:dyDescent="0.25">
      <c r="A2" s="3"/>
      <c r="B2" s="3"/>
      <c r="C2" s="3"/>
      <c r="D2" s="3"/>
      <c r="E2" s="5" t="s">
        <v>6</v>
      </c>
      <c r="F2" s="7" t="s">
        <v>7</v>
      </c>
      <c r="G2" s="7" t="s">
        <v>8</v>
      </c>
      <c r="H2" s="7" t="s">
        <v>9</v>
      </c>
      <c r="I2" s="5" t="s">
        <v>6</v>
      </c>
      <c r="J2" s="7" t="s">
        <v>7</v>
      </c>
      <c r="K2" s="7" t="s">
        <v>8</v>
      </c>
      <c r="L2" s="7" t="s">
        <v>9</v>
      </c>
    </row>
    <row r="3" spans="1:12" ht="15.75" customHeight="1" thickBot="1" x14ac:dyDescent="0.3">
      <c r="A3" s="4">
        <f>0</f>
        <v>0</v>
      </c>
      <c r="B3" s="4" t="s">
        <v>10</v>
      </c>
      <c r="C3" s="4" t="str">
        <f>"-"</f>
        <v>-</v>
      </c>
      <c r="D3" s="4" t="str">
        <f>"-"</f>
        <v>-</v>
      </c>
      <c r="E3" s="5">
        <v>0.32939499999999999</v>
      </c>
      <c r="F3" s="7" t="str">
        <f>"-"</f>
        <v>-</v>
      </c>
      <c r="G3" s="7">
        <v>6.8756999999999999E-2</v>
      </c>
      <c r="H3" s="7" t="str">
        <f>"-"</f>
        <v>-</v>
      </c>
      <c r="I3" s="5">
        <v>0.348078</v>
      </c>
      <c r="J3" s="7" t="str">
        <f>"-"</f>
        <v>-</v>
      </c>
      <c r="K3" s="7">
        <v>5.6654000000000003E-2</v>
      </c>
      <c r="L3" s="7" t="str">
        <f>"-"</f>
        <v>-</v>
      </c>
    </row>
    <row r="4" spans="1:12" x14ac:dyDescent="0.25">
      <c r="A4" s="4">
        <f t="shared" ref="A4:A35" si="0">A3+1</f>
        <v>1</v>
      </c>
      <c r="B4" s="4" t="s">
        <v>11</v>
      </c>
      <c r="C4" s="4">
        <f>1.5</f>
        <v>1.5</v>
      </c>
      <c r="D4" s="4" t="str">
        <f t="shared" ref="D4:D9" si="1">"single"</f>
        <v>single</v>
      </c>
      <c r="E4" s="5">
        <v>0.33519500000000002</v>
      </c>
      <c r="F4" s="7">
        <f t="shared" ref="F4:F35" si="2">IF(ISNUMBER(E4),(E4-E$3)/E$3,"")</f>
        <v>1.7608038980555345E-2</v>
      </c>
      <c r="G4" s="7">
        <v>7.2276999999999994E-2</v>
      </c>
      <c r="H4" s="7">
        <f t="shared" ref="H4:H35" si="3">IF(ISNUMBER(G4),(G4-G$3)/G$3,"")</f>
        <v>5.1194787439824245E-2</v>
      </c>
      <c r="I4" s="5">
        <v>0.35338399999999998</v>
      </c>
      <c r="J4" s="7">
        <f t="shared" ref="J4:J35" si="4">IF(ISNUMBER(I4),(I4-I$3)/I$3,"")</f>
        <v>1.524370974321841E-2</v>
      </c>
      <c r="K4" s="7">
        <v>5.9365000000000001E-2</v>
      </c>
      <c r="L4" s="7">
        <f t="shared" ref="L4:L35" si="5">IF(ISNUMBER(K4),(K4-K$3)/K$3,"")</f>
        <v>4.7851872771560666E-2</v>
      </c>
    </row>
    <row r="5" spans="1:12" x14ac:dyDescent="0.25">
      <c r="A5" s="4">
        <f t="shared" si="0"/>
        <v>2</v>
      </c>
      <c r="B5" s="4" t="s">
        <v>11</v>
      </c>
      <c r="C5" s="4">
        <f>2</f>
        <v>2</v>
      </c>
      <c r="D5" s="4" t="str">
        <f t="shared" si="1"/>
        <v>single</v>
      </c>
      <c r="E5" s="5">
        <v>0.33488400000000001</v>
      </c>
      <c r="F5" s="7">
        <f t="shared" si="2"/>
        <v>1.6663883786942793E-2</v>
      </c>
      <c r="G5" s="7">
        <v>7.1951000000000001E-2</v>
      </c>
      <c r="H5" s="7">
        <f t="shared" si="3"/>
        <v>4.6453452012158801E-2</v>
      </c>
      <c r="I5" s="5">
        <v>0.35311399999999998</v>
      </c>
      <c r="J5" s="7">
        <f t="shared" si="4"/>
        <v>1.4468021535402942E-2</v>
      </c>
      <c r="K5" s="7">
        <v>5.9089000000000003E-2</v>
      </c>
      <c r="L5" s="7">
        <f t="shared" si="5"/>
        <v>4.2980195573128099E-2</v>
      </c>
    </row>
    <row r="6" spans="1:12" x14ac:dyDescent="0.25">
      <c r="A6" s="4">
        <f t="shared" si="0"/>
        <v>3</v>
      </c>
      <c r="B6" s="4" t="s">
        <v>11</v>
      </c>
      <c r="C6" s="4">
        <f>3</f>
        <v>3</v>
      </c>
      <c r="D6" s="4" t="str">
        <f t="shared" si="1"/>
        <v>single</v>
      </c>
      <c r="E6" s="5">
        <v>0.33346100000000001</v>
      </c>
      <c r="F6" s="7">
        <f t="shared" si="2"/>
        <v>1.234384249912723E-2</v>
      </c>
      <c r="G6" s="7">
        <v>7.0954000000000003E-2</v>
      </c>
      <c r="H6" s="7">
        <f t="shared" si="3"/>
        <v>3.1953110228776775E-2</v>
      </c>
      <c r="I6" s="5">
        <v>0.35185300000000003</v>
      </c>
      <c r="J6" s="7">
        <f t="shared" si="4"/>
        <v>1.0845270312975908E-2</v>
      </c>
      <c r="K6" s="7">
        <v>5.8259999999999999E-2</v>
      </c>
      <c r="L6" s="7">
        <f t="shared" si="5"/>
        <v>2.8347512973488125E-2</v>
      </c>
    </row>
    <row r="7" spans="1:12" x14ac:dyDescent="0.25">
      <c r="A7" s="4">
        <f t="shared" si="0"/>
        <v>4</v>
      </c>
      <c r="B7" s="4" t="s">
        <v>11</v>
      </c>
      <c r="C7" s="4">
        <f>5</f>
        <v>5</v>
      </c>
      <c r="D7" s="4" t="str">
        <f t="shared" si="1"/>
        <v>single</v>
      </c>
      <c r="E7" s="5">
        <v>0.33048300000000003</v>
      </c>
      <c r="F7" s="7">
        <f t="shared" si="2"/>
        <v>3.3030252432490882E-3</v>
      </c>
      <c r="G7" s="7">
        <v>6.8983000000000003E-2</v>
      </c>
      <c r="H7" s="7">
        <f t="shared" si="3"/>
        <v>3.2869380572160506E-3</v>
      </c>
      <c r="I7" s="5">
        <v>0.34951599999999999</v>
      </c>
      <c r="J7" s="7">
        <f t="shared" si="4"/>
        <v>4.131257936439519E-3</v>
      </c>
      <c r="K7" s="7">
        <v>5.6838E-2</v>
      </c>
      <c r="L7" s="7">
        <f t="shared" si="5"/>
        <v>3.2477847989550016E-3</v>
      </c>
    </row>
    <row r="8" spans="1:12" x14ac:dyDescent="0.25">
      <c r="A8" s="4">
        <f t="shared" si="0"/>
        <v>5</v>
      </c>
      <c r="B8" s="4" t="s">
        <v>11</v>
      </c>
      <c r="C8" s="4">
        <f>7.5</f>
        <v>7.5</v>
      </c>
      <c r="D8" s="4" t="str">
        <f t="shared" si="1"/>
        <v>single</v>
      </c>
      <c r="E8" s="5">
        <v>0.32973400000000003</v>
      </c>
      <c r="F8" s="7">
        <f t="shared" si="2"/>
        <v>1.0291595197256598E-3</v>
      </c>
      <c r="G8" s="7">
        <v>6.8513000000000004E-2</v>
      </c>
      <c r="H8" s="7">
        <f t="shared" si="3"/>
        <v>-3.5487295838968285E-3</v>
      </c>
      <c r="I8" s="5">
        <v>0.34910400000000003</v>
      </c>
      <c r="J8" s="7">
        <f t="shared" si="4"/>
        <v>2.9476151896989378E-3</v>
      </c>
      <c r="K8" s="7">
        <v>5.6714000000000001E-2</v>
      </c>
      <c r="L8" s="7">
        <f t="shared" si="5"/>
        <v>1.059060260528781E-3</v>
      </c>
    </row>
    <row r="9" spans="1:12" ht="15.75" customHeight="1" thickBot="1" x14ac:dyDescent="0.3">
      <c r="A9" s="4">
        <f t="shared" si="0"/>
        <v>6</v>
      </c>
      <c r="B9" s="4" t="s">
        <v>11</v>
      </c>
      <c r="C9" s="4">
        <f>12</f>
        <v>12</v>
      </c>
      <c r="D9" s="4" t="str">
        <f t="shared" si="1"/>
        <v>single</v>
      </c>
      <c r="E9" s="5">
        <v>0.32962900000000001</v>
      </c>
      <c r="F9" s="7">
        <f t="shared" si="2"/>
        <v>7.1039329680174857E-4</v>
      </c>
      <c r="G9" s="7">
        <v>6.8767999999999996E-2</v>
      </c>
      <c r="H9" s="7">
        <f t="shared" si="3"/>
        <v>1.5998371074940913E-4</v>
      </c>
      <c r="I9" s="5">
        <v>0.34853600000000001</v>
      </c>
      <c r="J9" s="7">
        <f t="shared" si="4"/>
        <v>1.315797033998167E-3</v>
      </c>
      <c r="K9" s="7">
        <v>5.6838E-2</v>
      </c>
      <c r="L9" s="7">
        <f t="shared" si="5"/>
        <v>3.2477847989550016E-3</v>
      </c>
    </row>
    <row r="10" spans="1:12" x14ac:dyDescent="0.25">
      <c r="A10" s="4">
        <f t="shared" si="0"/>
        <v>7</v>
      </c>
      <c r="B10" s="4" t="s">
        <v>11</v>
      </c>
      <c r="C10" s="4">
        <f>1.5</f>
        <v>1.5</v>
      </c>
      <c r="D10" s="4" t="str">
        <f t="shared" ref="D10:D15" si="6">"complete"</f>
        <v>complete</v>
      </c>
      <c r="E10" s="5">
        <v>0.33498899999999998</v>
      </c>
      <c r="F10" s="7">
        <f t="shared" si="2"/>
        <v>1.6982650009866537E-2</v>
      </c>
      <c r="G10" s="7">
        <v>7.2566000000000005E-2</v>
      </c>
      <c r="H10" s="7">
        <f t="shared" si="3"/>
        <v>5.5397995840423618E-2</v>
      </c>
      <c r="I10" s="5">
        <v>0.35314099999999998</v>
      </c>
      <c r="J10" s="7">
        <f t="shared" si="4"/>
        <v>1.4545590356184489E-2</v>
      </c>
      <c r="K10" s="7">
        <v>5.9561000000000003E-2</v>
      </c>
      <c r="L10" s="7">
        <f t="shared" si="5"/>
        <v>5.1311469622621522E-2</v>
      </c>
    </row>
    <row r="11" spans="1:12" x14ac:dyDescent="0.25">
      <c r="A11" s="4">
        <f t="shared" si="0"/>
        <v>8</v>
      </c>
      <c r="B11" s="4" t="s">
        <v>11</v>
      </c>
      <c r="C11" s="4">
        <f>2</f>
        <v>2</v>
      </c>
      <c r="D11" s="4" t="str">
        <f t="shared" si="6"/>
        <v>complete</v>
      </c>
      <c r="E11" s="5">
        <v>0.33506599999999997</v>
      </c>
      <c r="F11" s="7">
        <f t="shared" si="2"/>
        <v>1.7216411906677338E-2</v>
      </c>
      <c r="G11" s="7">
        <v>7.2447999999999999E-2</v>
      </c>
      <c r="H11" s="7">
        <f t="shared" si="3"/>
        <v>5.3681806943293046E-2</v>
      </c>
      <c r="I11" s="5">
        <v>0.35323100000000002</v>
      </c>
      <c r="J11" s="7">
        <f t="shared" si="4"/>
        <v>1.4804153092123084E-2</v>
      </c>
      <c r="K11" s="7">
        <v>5.9499000000000003E-2</v>
      </c>
      <c r="L11" s="7">
        <f t="shared" si="5"/>
        <v>5.0217107353408411E-2</v>
      </c>
    </row>
    <row r="12" spans="1:12" x14ac:dyDescent="0.25">
      <c r="A12" s="4">
        <f t="shared" si="0"/>
        <v>9</v>
      </c>
      <c r="B12" s="4" t="s">
        <v>11</v>
      </c>
      <c r="C12" s="4">
        <f>3</f>
        <v>3</v>
      </c>
      <c r="D12" s="4" t="str">
        <f t="shared" si="6"/>
        <v>complete</v>
      </c>
      <c r="E12" s="5">
        <v>0.335198</v>
      </c>
      <c r="F12" s="7">
        <f t="shared" si="2"/>
        <v>1.7617146586924523E-2</v>
      </c>
      <c r="G12" s="7">
        <v>7.2045999999999999E-2</v>
      </c>
      <c r="H12" s="7">
        <f t="shared" si="3"/>
        <v>4.783512951408584E-2</v>
      </c>
      <c r="I12" s="5">
        <v>0.35344500000000001</v>
      </c>
      <c r="J12" s="7">
        <f t="shared" si="4"/>
        <v>1.5418957819799042E-2</v>
      </c>
      <c r="K12" s="7">
        <v>5.9265999999999999E-2</v>
      </c>
      <c r="L12" s="7">
        <f t="shared" si="5"/>
        <v>4.6104423341688072E-2</v>
      </c>
    </row>
    <row r="13" spans="1:12" x14ac:dyDescent="0.25">
      <c r="A13" s="4">
        <f t="shared" si="0"/>
        <v>10</v>
      </c>
      <c r="B13" s="4" t="s">
        <v>11</v>
      </c>
      <c r="C13" s="4">
        <f>5</f>
        <v>5</v>
      </c>
      <c r="D13" s="4" t="str">
        <f t="shared" si="6"/>
        <v>complete</v>
      </c>
      <c r="E13" s="5">
        <v>0.33399800000000002</v>
      </c>
      <c r="F13" s="7">
        <f t="shared" si="2"/>
        <v>1.3974104039223497E-2</v>
      </c>
      <c r="G13" s="7">
        <v>7.0849999999999996E-2</v>
      </c>
      <c r="H13" s="7">
        <f t="shared" si="3"/>
        <v>3.0440536963509138E-2</v>
      </c>
      <c r="I13" s="5">
        <v>0.35263100000000003</v>
      </c>
      <c r="J13" s="7">
        <f t="shared" si="4"/>
        <v>1.3080401519199803E-2</v>
      </c>
      <c r="K13" s="7">
        <v>5.8424999999999998E-2</v>
      </c>
      <c r="L13" s="7">
        <f t="shared" si="5"/>
        <v>3.1259928689942366E-2</v>
      </c>
    </row>
    <row r="14" spans="1:12" x14ac:dyDescent="0.25">
      <c r="A14" s="4">
        <f t="shared" si="0"/>
        <v>11</v>
      </c>
      <c r="B14" s="4" t="s">
        <v>11</v>
      </c>
      <c r="C14" s="4">
        <f>7.5</f>
        <v>7.5</v>
      </c>
      <c r="D14" s="4" t="str">
        <f t="shared" si="6"/>
        <v>complete</v>
      </c>
      <c r="E14" s="5">
        <v>0.33191100000000001</v>
      </c>
      <c r="F14" s="7">
        <f t="shared" si="2"/>
        <v>7.6382458750133371E-3</v>
      </c>
      <c r="G14" s="7">
        <v>6.9540000000000005E-2</v>
      </c>
      <c r="H14" s="7">
        <f t="shared" si="3"/>
        <v>1.1387931410620096E-2</v>
      </c>
      <c r="I14" s="5">
        <v>0.35096699999999997</v>
      </c>
      <c r="J14" s="7">
        <f t="shared" si="4"/>
        <v>8.299863823625667E-3</v>
      </c>
      <c r="K14" s="7">
        <v>5.7456E-2</v>
      </c>
      <c r="L14" s="7">
        <f t="shared" si="5"/>
        <v>1.4156105482401898E-2</v>
      </c>
    </row>
    <row r="15" spans="1:12" ht="15.75" customHeight="1" thickBot="1" x14ac:dyDescent="0.3">
      <c r="A15" s="4">
        <f t="shared" si="0"/>
        <v>12</v>
      </c>
      <c r="B15" s="4" t="s">
        <v>11</v>
      </c>
      <c r="C15" s="4">
        <f>12</f>
        <v>12</v>
      </c>
      <c r="D15" s="4" t="str">
        <f t="shared" si="6"/>
        <v>complete</v>
      </c>
      <c r="E15" s="5">
        <v>0.3301</v>
      </c>
      <c r="F15" s="7">
        <f t="shared" si="2"/>
        <v>2.1402874967744235E-3</v>
      </c>
      <c r="G15" s="7">
        <v>6.8790000000000004E-2</v>
      </c>
      <c r="H15" s="7">
        <f t="shared" si="3"/>
        <v>4.7995113224842922E-4</v>
      </c>
      <c r="I15" s="5">
        <v>0.34929300000000002</v>
      </c>
      <c r="J15" s="7">
        <f t="shared" si="4"/>
        <v>3.4905969351697653E-3</v>
      </c>
      <c r="K15" s="7">
        <v>5.6598999999999997E-2</v>
      </c>
      <c r="L15" s="7">
        <f t="shared" si="5"/>
        <v>-9.7080523881820223E-4</v>
      </c>
    </row>
    <row r="16" spans="1:12" x14ac:dyDescent="0.25">
      <c r="A16" s="4">
        <f t="shared" si="0"/>
        <v>13</v>
      </c>
      <c r="B16" s="4" t="s">
        <v>11</v>
      </c>
      <c r="C16" s="4">
        <f>1.5</f>
        <v>1.5</v>
      </c>
      <c r="D16" s="4" t="str">
        <f t="shared" ref="D16:D21" si="7">"average"</f>
        <v>average</v>
      </c>
      <c r="E16" s="5">
        <v>0.335063</v>
      </c>
      <c r="F16" s="7">
        <f t="shared" si="2"/>
        <v>1.720730430030816E-2</v>
      </c>
      <c r="G16" s="7">
        <v>7.2500999999999996E-2</v>
      </c>
      <c r="H16" s="7">
        <f t="shared" si="3"/>
        <v>5.4452637549631269E-2</v>
      </c>
      <c r="I16" s="5">
        <v>0.35321200000000003</v>
      </c>
      <c r="J16" s="7">
        <f t="shared" si="4"/>
        <v>1.4749567625647204E-2</v>
      </c>
      <c r="K16" s="7">
        <v>5.9518000000000001E-2</v>
      </c>
      <c r="L16" s="7">
        <f t="shared" si="5"/>
        <v>5.0552476435909176E-2</v>
      </c>
    </row>
    <row r="17" spans="1:12" x14ac:dyDescent="0.25">
      <c r="A17" s="4">
        <f t="shared" si="0"/>
        <v>14</v>
      </c>
      <c r="B17" s="4" t="s">
        <v>11</v>
      </c>
      <c r="C17" s="4">
        <f>2</f>
        <v>2</v>
      </c>
      <c r="D17" s="4" t="str">
        <f t="shared" si="7"/>
        <v>average</v>
      </c>
      <c r="E17" s="5">
        <v>0.33519900000000002</v>
      </c>
      <c r="F17" s="7">
        <f t="shared" si="2"/>
        <v>1.762018245571436E-2</v>
      </c>
      <c r="G17" s="7">
        <v>7.2346999999999995E-2</v>
      </c>
      <c r="H17" s="7">
        <f t="shared" si="3"/>
        <v>5.2212865599138937E-2</v>
      </c>
      <c r="I17" s="5">
        <v>0.353379</v>
      </c>
      <c r="J17" s="7">
        <f t="shared" si="4"/>
        <v>1.5229345146777446E-2</v>
      </c>
      <c r="K17" s="7">
        <v>5.9459999999999999E-2</v>
      </c>
      <c r="L17" s="7">
        <f t="shared" si="5"/>
        <v>4.9528718184064603E-2</v>
      </c>
    </row>
    <row r="18" spans="1:12" x14ac:dyDescent="0.25">
      <c r="A18" s="4">
        <f t="shared" si="0"/>
        <v>15</v>
      </c>
      <c r="B18" s="4" t="s">
        <v>11</v>
      </c>
      <c r="C18" s="4">
        <f>3</f>
        <v>3</v>
      </c>
      <c r="D18" s="4" t="str">
        <f t="shared" si="7"/>
        <v>average</v>
      </c>
      <c r="E18" s="5">
        <v>0.335038</v>
      </c>
      <c r="F18" s="7">
        <f t="shared" si="2"/>
        <v>1.7131407580564396E-2</v>
      </c>
      <c r="G18" s="7">
        <v>7.1758000000000002E-2</v>
      </c>
      <c r="H18" s="7">
        <f t="shared" si="3"/>
        <v>4.3646465087191173E-2</v>
      </c>
      <c r="I18" s="5">
        <v>0.353348</v>
      </c>
      <c r="J18" s="7">
        <f t="shared" si="4"/>
        <v>1.5140284648843066E-2</v>
      </c>
      <c r="K18" s="7">
        <v>5.9088000000000002E-2</v>
      </c>
      <c r="L18" s="7">
        <f t="shared" si="5"/>
        <v>4.296254456878594E-2</v>
      </c>
    </row>
    <row r="19" spans="1:12" x14ac:dyDescent="0.25">
      <c r="A19" s="4">
        <f t="shared" si="0"/>
        <v>16</v>
      </c>
      <c r="B19" s="4" t="s">
        <v>11</v>
      </c>
      <c r="C19" s="4">
        <f>5</f>
        <v>5</v>
      </c>
      <c r="D19" s="4" t="str">
        <f t="shared" si="7"/>
        <v>average</v>
      </c>
      <c r="E19" s="5">
        <v>0.33240799999999998</v>
      </c>
      <c r="F19" s="7">
        <f t="shared" si="2"/>
        <v>9.1470726635194469E-3</v>
      </c>
      <c r="G19" s="7">
        <v>7.0014000000000007E-2</v>
      </c>
      <c r="H19" s="7">
        <f t="shared" si="3"/>
        <v>1.8281774946551015E-2</v>
      </c>
      <c r="I19" s="5">
        <v>0.35127999999999998</v>
      </c>
      <c r="J19" s="7">
        <f t="shared" si="4"/>
        <v>9.1990875608340163E-3</v>
      </c>
      <c r="K19" s="7">
        <v>5.7771999999999997E-2</v>
      </c>
      <c r="L19" s="7">
        <f t="shared" si="5"/>
        <v>1.9733822854520314E-2</v>
      </c>
    </row>
    <row r="20" spans="1:12" x14ac:dyDescent="0.25">
      <c r="A20" s="4">
        <f t="shared" si="0"/>
        <v>17</v>
      </c>
      <c r="B20" s="4" t="s">
        <v>11</v>
      </c>
      <c r="C20" s="4">
        <f>7.5</f>
        <v>7.5</v>
      </c>
      <c r="D20" s="4" t="str">
        <f t="shared" si="7"/>
        <v>average</v>
      </c>
      <c r="E20" s="5">
        <v>0.33015099999999997</v>
      </c>
      <c r="F20" s="7">
        <f t="shared" si="2"/>
        <v>2.2951168050516215E-3</v>
      </c>
      <c r="G20" s="7">
        <v>6.8742999999999999E-2</v>
      </c>
      <c r="H20" s="7">
        <f t="shared" si="3"/>
        <v>-2.0361563186293939E-4</v>
      </c>
      <c r="I20" s="5">
        <v>0.34943400000000002</v>
      </c>
      <c r="J20" s="7">
        <f t="shared" si="4"/>
        <v>3.8956785548067497E-3</v>
      </c>
      <c r="K20" s="7">
        <v>5.6834999999999997E-2</v>
      </c>
      <c r="L20" s="7">
        <f t="shared" si="5"/>
        <v>3.1948317859285076E-3</v>
      </c>
    </row>
    <row r="21" spans="1:12" ht="15.75" customHeight="1" thickBot="1" x14ac:dyDescent="0.3">
      <c r="A21" s="4">
        <f t="shared" si="0"/>
        <v>18</v>
      </c>
      <c r="B21" s="4" t="s">
        <v>11</v>
      </c>
      <c r="C21" s="4">
        <f>12</f>
        <v>12</v>
      </c>
      <c r="D21" s="4" t="str">
        <f t="shared" si="7"/>
        <v>average</v>
      </c>
      <c r="E21" s="5">
        <v>0.32971800000000001</v>
      </c>
      <c r="F21" s="7">
        <f t="shared" si="2"/>
        <v>9.8058561908959683E-4</v>
      </c>
      <c r="G21" s="7">
        <v>6.8766999999999995E-2</v>
      </c>
      <c r="H21" s="7">
        <f t="shared" si="3"/>
        <v>1.4543973704489905E-4</v>
      </c>
      <c r="I21" s="5">
        <v>0.34888200000000003</v>
      </c>
      <c r="J21" s="7">
        <f t="shared" si="4"/>
        <v>2.3098271077173133E-3</v>
      </c>
      <c r="K21" s="7">
        <v>5.6702000000000002E-2</v>
      </c>
      <c r="L21" s="7">
        <f t="shared" si="5"/>
        <v>8.4724820842304921E-4</v>
      </c>
    </row>
    <row r="22" spans="1:12" x14ac:dyDescent="0.25">
      <c r="A22" s="4">
        <f t="shared" si="0"/>
        <v>19</v>
      </c>
      <c r="B22" s="4" t="s">
        <v>11</v>
      </c>
      <c r="C22" s="4">
        <f>1.5</f>
        <v>1.5</v>
      </c>
      <c r="D22" s="4" t="str">
        <f t="shared" ref="D22:D27" si="8">"centroid"</f>
        <v>centroid</v>
      </c>
      <c r="E22" s="5">
        <v>0.33516299999999999</v>
      </c>
      <c r="F22" s="7">
        <f t="shared" si="2"/>
        <v>1.7510891179283217E-2</v>
      </c>
      <c r="G22" s="7">
        <v>7.2423000000000001E-2</v>
      </c>
      <c r="H22" s="7">
        <f t="shared" si="3"/>
        <v>5.3318207600680699E-2</v>
      </c>
      <c r="I22" s="5">
        <v>0.353323</v>
      </c>
      <c r="J22" s="7">
        <f t="shared" si="4"/>
        <v>1.5068461666637936E-2</v>
      </c>
      <c r="K22" s="7">
        <v>5.9503E-2</v>
      </c>
      <c r="L22" s="7">
        <f t="shared" si="5"/>
        <v>5.028771137077695E-2</v>
      </c>
    </row>
    <row r="23" spans="1:12" x14ac:dyDescent="0.25">
      <c r="A23" s="4">
        <f t="shared" si="0"/>
        <v>20</v>
      </c>
      <c r="B23" s="4" t="s">
        <v>11</v>
      </c>
      <c r="C23" s="4">
        <f>2</f>
        <v>2</v>
      </c>
      <c r="D23" s="4" t="str">
        <f t="shared" si="8"/>
        <v>centroid</v>
      </c>
      <c r="E23" s="5">
        <v>0.33517400000000003</v>
      </c>
      <c r="F23" s="7">
        <f t="shared" si="2"/>
        <v>1.7544285735970597E-2</v>
      </c>
      <c r="G23" s="7">
        <v>7.2163000000000005E-2</v>
      </c>
      <c r="H23" s="7">
        <f t="shared" si="3"/>
        <v>4.9536774437511907E-2</v>
      </c>
      <c r="I23" s="5">
        <v>0.35335899999999998</v>
      </c>
      <c r="J23" s="7">
        <f t="shared" si="4"/>
        <v>1.5171886761013279E-2</v>
      </c>
      <c r="K23" s="7">
        <v>5.9355999999999999E-2</v>
      </c>
      <c r="L23" s="7">
        <f t="shared" si="5"/>
        <v>4.7693013732481304E-2</v>
      </c>
    </row>
    <row r="24" spans="1:12" x14ac:dyDescent="0.25">
      <c r="A24" s="4">
        <f t="shared" si="0"/>
        <v>21</v>
      </c>
      <c r="B24" s="4" t="s">
        <v>11</v>
      </c>
      <c r="C24" s="4">
        <f>3</f>
        <v>3</v>
      </c>
      <c r="D24" s="4" t="str">
        <f t="shared" si="8"/>
        <v>centroid</v>
      </c>
      <c r="E24" s="5">
        <v>0.33401900000000001</v>
      </c>
      <c r="F24" s="7">
        <f t="shared" si="2"/>
        <v>1.4037857283808245E-2</v>
      </c>
      <c r="G24" s="7">
        <v>7.1063000000000001E-2</v>
      </c>
      <c r="H24" s="7">
        <f t="shared" si="3"/>
        <v>3.3538403362566756E-2</v>
      </c>
      <c r="I24" s="5">
        <v>0.35237800000000002</v>
      </c>
      <c r="J24" s="7">
        <f t="shared" si="4"/>
        <v>1.2353552939283799E-2</v>
      </c>
      <c r="K24" s="7">
        <v>5.8376999999999998E-2</v>
      </c>
      <c r="L24" s="7">
        <f t="shared" si="5"/>
        <v>3.0412680481519315E-2</v>
      </c>
    </row>
    <row r="25" spans="1:12" x14ac:dyDescent="0.25">
      <c r="A25" s="4">
        <f t="shared" si="0"/>
        <v>22</v>
      </c>
      <c r="B25" s="4" t="s">
        <v>11</v>
      </c>
      <c r="C25" s="4">
        <f>5</f>
        <v>5</v>
      </c>
      <c r="D25" s="4" t="str">
        <f t="shared" si="8"/>
        <v>centroid</v>
      </c>
      <c r="E25" s="5">
        <v>0.331451</v>
      </c>
      <c r="F25" s="7">
        <f t="shared" si="2"/>
        <v>6.2417462317278715E-3</v>
      </c>
      <c r="G25" s="7">
        <v>6.9528999999999994E-2</v>
      </c>
      <c r="H25" s="7">
        <f t="shared" si="3"/>
        <v>1.1227947699870485E-2</v>
      </c>
      <c r="I25" s="5">
        <v>0.35039599999999999</v>
      </c>
      <c r="J25" s="7">
        <f t="shared" si="4"/>
        <v>6.6594269100603504E-3</v>
      </c>
      <c r="K25" s="7">
        <v>5.7417999999999997E-2</v>
      </c>
      <c r="L25" s="7">
        <f t="shared" si="5"/>
        <v>1.348536731740025E-2</v>
      </c>
    </row>
    <row r="26" spans="1:12" x14ac:dyDescent="0.25">
      <c r="A26" s="4">
        <f t="shared" si="0"/>
        <v>23</v>
      </c>
      <c r="B26" s="4" t="s">
        <v>11</v>
      </c>
      <c r="C26" s="4">
        <f>7.5</f>
        <v>7.5</v>
      </c>
      <c r="D26" s="4" t="str">
        <f t="shared" si="8"/>
        <v>centroid</v>
      </c>
      <c r="E26" s="5">
        <v>0.32999099999999998</v>
      </c>
      <c r="F26" s="7">
        <f t="shared" si="2"/>
        <v>1.8093777986914964E-3</v>
      </c>
      <c r="G26" s="7">
        <v>6.8636000000000003E-2</v>
      </c>
      <c r="H26" s="7">
        <f t="shared" si="3"/>
        <v>-1.7598208182439041E-3</v>
      </c>
      <c r="I26" s="5">
        <v>0.34928900000000002</v>
      </c>
      <c r="J26" s="7">
        <f t="shared" si="4"/>
        <v>3.4791052580169317E-3</v>
      </c>
      <c r="K26" s="7">
        <v>5.6739999999999999E-2</v>
      </c>
      <c r="L26" s="7">
        <f t="shared" si="5"/>
        <v>1.5179863734245736E-3</v>
      </c>
    </row>
    <row r="27" spans="1:12" ht="15.75" customHeight="1" thickBot="1" x14ac:dyDescent="0.3">
      <c r="A27" s="4">
        <f t="shared" si="0"/>
        <v>24</v>
      </c>
      <c r="B27" s="4" t="s">
        <v>11</v>
      </c>
      <c r="C27" s="4">
        <f>12</f>
        <v>12</v>
      </c>
      <c r="D27" s="4" t="str">
        <f t="shared" si="8"/>
        <v>centroid</v>
      </c>
      <c r="E27" s="5">
        <v>0.32963599999999998</v>
      </c>
      <c r="F27" s="7">
        <f t="shared" si="2"/>
        <v>7.3164437832994196E-4</v>
      </c>
      <c r="G27" s="7">
        <v>6.8752999999999995E-2</v>
      </c>
      <c r="H27" s="7">
        <f t="shared" si="3"/>
        <v>-5.8175894818040355E-5</v>
      </c>
      <c r="I27" s="5">
        <v>0.348659</v>
      </c>
      <c r="J27" s="7">
        <f t="shared" si="4"/>
        <v>1.6691661064474003E-3</v>
      </c>
      <c r="K27" s="7">
        <v>5.6681000000000002E-2</v>
      </c>
      <c r="L27" s="7">
        <f t="shared" si="5"/>
        <v>4.7657711723795752E-4</v>
      </c>
    </row>
    <row r="28" spans="1:12" x14ac:dyDescent="0.25">
      <c r="A28" s="4">
        <f t="shared" si="0"/>
        <v>25</v>
      </c>
      <c r="B28" s="4" t="s">
        <v>11</v>
      </c>
      <c r="C28" s="4">
        <f>1.5</f>
        <v>1.5</v>
      </c>
      <c r="D28" s="4" t="str">
        <f t="shared" ref="D28:D33" si="9">"ward"</f>
        <v>ward</v>
      </c>
      <c r="E28" s="5">
        <v>0.33490999999999999</v>
      </c>
      <c r="F28" s="7">
        <f t="shared" si="2"/>
        <v>1.6742816375476227E-2</v>
      </c>
      <c r="G28" s="7">
        <v>7.2561E-2</v>
      </c>
      <c r="H28" s="7">
        <f t="shared" si="3"/>
        <v>5.5325275971901074E-2</v>
      </c>
      <c r="I28" s="5">
        <v>0.35309400000000002</v>
      </c>
      <c r="J28" s="7">
        <f t="shared" si="4"/>
        <v>1.4410563149638933E-2</v>
      </c>
      <c r="K28" s="7">
        <v>5.9555999999999998E-2</v>
      </c>
      <c r="L28" s="7">
        <f t="shared" si="5"/>
        <v>5.1223214600910699E-2</v>
      </c>
    </row>
    <row r="29" spans="1:12" x14ac:dyDescent="0.25">
      <c r="A29" s="4">
        <f t="shared" si="0"/>
        <v>26</v>
      </c>
      <c r="B29" s="4" t="s">
        <v>11</v>
      </c>
      <c r="C29" s="4">
        <f>2</f>
        <v>2</v>
      </c>
      <c r="D29" s="4" t="str">
        <f t="shared" si="9"/>
        <v>ward</v>
      </c>
      <c r="E29" s="5">
        <v>0.334951</v>
      </c>
      <c r="F29" s="7">
        <f t="shared" si="2"/>
        <v>1.6867286995856056E-2</v>
      </c>
      <c r="G29" s="7">
        <v>7.2472999999999996E-2</v>
      </c>
      <c r="H29" s="7">
        <f t="shared" si="3"/>
        <v>5.4045406285905394E-2</v>
      </c>
      <c r="I29" s="5">
        <v>0.35316599999999998</v>
      </c>
      <c r="J29" s="7">
        <f t="shared" si="4"/>
        <v>1.4617413338389618E-2</v>
      </c>
      <c r="K29" s="7">
        <v>5.9521999999999999E-2</v>
      </c>
      <c r="L29" s="7">
        <f t="shared" si="5"/>
        <v>5.0623080453277708E-2</v>
      </c>
    </row>
    <row r="30" spans="1:12" x14ac:dyDescent="0.25">
      <c r="A30" s="4">
        <f t="shared" si="0"/>
        <v>27</v>
      </c>
      <c r="B30" s="4" t="s">
        <v>11</v>
      </c>
      <c r="C30" s="4">
        <f>3</f>
        <v>3</v>
      </c>
      <c r="D30" s="4" t="str">
        <f t="shared" si="9"/>
        <v>ward</v>
      </c>
      <c r="E30" s="5">
        <v>0.33504800000000001</v>
      </c>
      <c r="F30" s="7">
        <f t="shared" si="2"/>
        <v>1.7161766268461935E-2</v>
      </c>
      <c r="G30" s="7">
        <v>7.2112999999999997E-2</v>
      </c>
      <c r="H30" s="7">
        <f t="shared" si="3"/>
        <v>4.8809575752287011E-2</v>
      </c>
      <c r="I30" s="5">
        <v>0.35333100000000001</v>
      </c>
      <c r="J30" s="7">
        <f t="shared" si="4"/>
        <v>1.5091445020943603E-2</v>
      </c>
      <c r="K30" s="7">
        <v>5.9318999999999997E-2</v>
      </c>
      <c r="L30" s="7">
        <f t="shared" si="5"/>
        <v>4.7039926571821822E-2</v>
      </c>
    </row>
    <row r="31" spans="1:12" x14ac:dyDescent="0.25">
      <c r="A31" s="4">
        <f t="shared" si="0"/>
        <v>28</v>
      </c>
      <c r="B31" s="4" t="s">
        <v>11</v>
      </c>
      <c r="C31" s="4">
        <f>5</f>
        <v>5</v>
      </c>
      <c r="D31" s="4" t="str">
        <f t="shared" si="9"/>
        <v>ward</v>
      </c>
      <c r="E31" s="5">
        <v>0.334621</v>
      </c>
      <c r="F31" s="7">
        <f t="shared" si="2"/>
        <v>1.5865450295238264E-2</v>
      </c>
      <c r="G31" s="7">
        <v>7.1244000000000002E-2</v>
      </c>
      <c r="H31" s="7">
        <f t="shared" si="3"/>
        <v>3.6170862603080459E-2</v>
      </c>
      <c r="I31" s="5">
        <v>0.35302499999999998</v>
      </c>
      <c r="J31" s="7">
        <f t="shared" si="4"/>
        <v>1.4212331718752634E-2</v>
      </c>
      <c r="K31" s="7">
        <v>5.8702999999999998E-2</v>
      </c>
      <c r="L31" s="7">
        <f t="shared" si="5"/>
        <v>3.6166907897059258E-2</v>
      </c>
    </row>
    <row r="32" spans="1:12" x14ac:dyDescent="0.25">
      <c r="A32" s="4">
        <f t="shared" si="0"/>
        <v>29</v>
      </c>
      <c r="B32" s="4" t="s">
        <v>11</v>
      </c>
      <c r="C32" s="4">
        <f>7.5</f>
        <v>7.5</v>
      </c>
      <c r="D32" s="4" t="str">
        <f t="shared" si="9"/>
        <v>ward</v>
      </c>
      <c r="E32" s="5">
        <v>0.33337600000000001</v>
      </c>
      <c r="F32" s="7">
        <f t="shared" si="2"/>
        <v>1.2085793651998399E-2</v>
      </c>
      <c r="G32" s="7">
        <v>7.0335999999999996E-2</v>
      </c>
      <c r="H32" s="7">
        <f t="shared" si="3"/>
        <v>2.296493447939842E-2</v>
      </c>
      <c r="I32" s="5">
        <v>0.35219400000000001</v>
      </c>
      <c r="J32" s="7">
        <f t="shared" si="4"/>
        <v>1.1824935790253933E-2</v>
      </c>
      <c r="K32" s="7">
        <v>5.7993000000000003E-2</v>
      </c>
      <c r="L32" s="7">
        <f t="shared" si="5"/>
        <v>2.363469481413492E-2</v>
      </c>
    </row>
    <row r="33" spans="1:12" ht="15.75" customHeight="1" thickBot="1" x14ac:dyDescent="0.3">
      <c r="A33" s="4">
        <f t="shared" si="0"/>
        <v>30</v>
      </c>
      <c r="B33" s="4" t="s">
        <v>11</v>
      </c>
      <c r="C33" s="4">
        <f>12</f>
        <v>12</v>
      </c>
      <c r="D33" s="4" t="str">
        <f t="shared" si="9"/>
        <v>ward</v>
      </c>
      <c r="E33" s="5">
        <v>0.33205099999999999</v>
      </c>
      <c r="F33" s="7">
        <f t="shared" si="2"/>
        <v>8.0632675055783837E-3</v>
      </c>
      <c r="G33" s="7">
        <v>6.9447999999999996E-2</v>
      </c>
      <c r="H33" s="7">
        <f t="shared" si="3"/>
        <v>1.004988582980638E-2</v>
      </c>
      <c r="I33" s="5">
        <v>0.35130800000000001</v>
      </c>
      <c r="J33" s="7">
        <f t="shared" si="4"/>
        <v>9.2795293009038504E-3</v>
      </c>
      <c r="K33" s="7">
        <v>5.7251000000000003E-2</v>
      </c>
      <c r="L33" s="7">
        <f t="shared" si="5"/>
        <v>1.0537649592261805E-2</v>
      </c>
    </row>
    <row r="34" spans="1:12" x14ac:dyDescent="0.25">
      <c r="A34" s="4">
        <f t="shared" si="0"/>
        <v>31</v>
      </c>
      <c r="B34" s="4" t="s">
        <v>11</v>
      </c>
      <c r="C34" s="4" t="s">
        <v>12</v>
      </c>
      <c r="D34" s="4" t="s">
        <v>13</v>
      </c>
      <c r="E34" s="5">
        <v>0.331617</v>
      </c>
      <c r="F34" s="7">
        <f t="shared" si="2"/>
        <v>6.7457004508265205E-3</v>
      </c>
      <c r="G34" s="7">
        <v>6.9750000000000006E-2</v>
      </c>
      <c r="H34" s="7">
        <f t="shared" si="3"/>
        <v>1.4442165888564187E-2</v>
      </c>
      <c r="I34" s="5">
        <v>0.350267</v>
      </c>
      <c r="J34" s="7">
        <f t="shared" si="4"/>
        <v>6.2888203218818672E-3</v>
      </c>
      <c r="K34" s="7">
        <v>5.7377999999999998E-2</v>
      </c>
      <c r="L34" s="7">
        <f t="shared" si="5"/>
        <v>1.2779327143714396E-2</v>
      </c>
    </row>
    <row r="35" spans="1:12" x14ac:dyDescent="0.25">
      <c r="A35" s="4">
        <f t="shared" si="0"/>
        <v>32</v>
      </c>
      <c r="B35" s="4" t="s">
        <v>11</v>
      </c>
      <c r="C35" s="4" t="s">
        <v>12</v>
      </c>
      <c r="D35" s="4" t="s">
        <v>14</v>
      </c>
      <c r="E35" s="5">
        <v>0.334013</v>
      </c>
      <c r="F35" s="7">
        <f t="shared" si="2"/>
        <v>1.4019642071069722E-2</v>
      </c>
      <c r="G35" s="7">
        <v>7.0777000000000007E-2</v>
      </c>
      <c r="H35" s="7">
        <f t="shared" si="3"/>
        <v>2.9378826883081112E-2</v>
      </c>
      <c r="I35" s="5">
        <v>0.35232000000000002</v>
      </c>
      <c r="J35" s="7">
        <f t="shared" si="4"/>
        <v>1.2186923620567872E-2</v>
      </c>
      <c r="K35" s="7">
        <v>5.8124000000000002E-2</v>
      </c>
      <c r="L35" s="7">
        <f t="shared" si="5"/>
        <v>2.5946976382956174E-2</v>
      </c>
    </row>
    <row r="36" spans="1:12" x14ac:dyDescent="0.25">
      <c r="A36" s="4">
        <f t="shared" ref="A36:A67" si="10">A35+1</f>
        <v>33</v>
      </c>
      <c r="B36" s="4" t="s">
        <v>11</v>
      </c>
      <c r="C36" s="4" t="s">
        <v>15</v>
      </c>
      <c r="D36" s="4" t="s">
        <v>13</v>
      </c>
      <c r="E36" s="5">
        <v>0.32976699999999998</v>
      </c>
      <c r="F36" s="7">
        <f t="shared" ref="F36:F67" si="11">IF(ISNUMBER(E36),(E36-E$3)/E$3,"")</f>
        <v>1.1293431897872871E-3</v>
      </c>
      <c r="G36" s="7">
        <v>6.8874000000000005E-2</v>
      </c>
      <c r="H36" s="7">
        <f t="shared" ref="H36:H67" si="12">IF(ISNUMBER(G36),(G36-G$3)/G$3,"")</f>
        <v>1.7016449234260656E-3</v>
      </c>
      <c r="I36" s="5">
        <v>0.34839399999999998</v>
      </c>
      <c r="J36" s="7">
        <f t="shared" ref="J36:J67" si="13">IF(ISNUMBER(I36),(I36-I$3)/I$3,"")</f>
        <v>9.0784249507289442E-4</v>
      </c>
      <c r="K36" s="7">
        <v>5.6644E-2</v>
      </c>
      <c r="L36" s="7">
        <f t="shared" ref="L36:L67" si="14">IF(ISNUMBER(K36),(K36-K$3)/K$3,"")</f>
        <v>-1.7651004342152473E-4</v>
      </c>
    </row>
    <row r="37" spans="1:12" x14ac:dyDescent="0.25">
      <c r="A37" s="4">
        <f t="shared" si="10"/>
        <v>34</v>
      </c>
      <c r="B37" s="4" t="s">
        <v>11</v>
      </c>
      <c r="C37" s="4" t="s">
        <v>15</v>
      </c>
      <c r="D37" s="4" t="s">
        <v>14</v>
      </c>
      <c r="E37" s="5">
        <v>0.33334200000000003</v>
      </c>
      <c r="F37" s="7">
        <f t="shared" si="11"/>
        <v>1.1982574113146932E-2</v>
      </c>
      <c r="G37" s="7">
        <v>7.0428000000000004E-2</v>
      </c>
      <c r="H37" s="7">
        <f t="shared" si="12"/>
        <v>2.4302980060212136E-2</v>
      </c>
      <c r="I37" s="5">
        <v>0.35145100000000001</v>
      </c>
      <c r="J37" s="7">
        <f t="shared" si="13"/>
        <v>9.6903567591172524E-3</v>
      </c>
      <c r="K37" s="7">
        <v>5.7426999999999999E-2</v>
      </c>
      <c r="L37" s="7">
        <f t="shared" si="14"/>
        <v>1.364422635647961E-2</v>
      </c>
    </row>
    <row r="38" spans="1:12" x14ac:dyDescent="0.25">
      <c r="A38" s="4">
        <f t="shared" si="10"/>
        <v>35</v>
      </c>
      <c r="B38" s="4" t="s">
        <v>11</v>
      </c>
      <c r="C38" s="4" t="s">
        <v>16</v>
      </c>
      <c r="D38" s="4" t="s">
        <v>13</v>
      </c>
      <c r="E38" s="5">
        <v>0.33004699999999998</v>
      </c>
      <c r="F38" s="7">
        <f t="shared" si="11"/>
        <v>1.9793864509175486E-3</v>
      </c>
      <c r="G38" s="7">
        <v>6.8934999999999996E-2</v>
      </c>
      <c r="H38" s="7">
        <f t="shared" si="12"/>
        <v>2.5888273194001718E-3</v>
      </c>
      <c r="I38" s="5">
        <v>0.34848000000000001</v>
      </c>
      <c r="J38" s="7">
        <f t="shared" si="13"/>
        <v>1.1549135538586567E-3</v>
      </c>
      <c r="K38" s="7">
        <v>5.6693E-2</v>
      </c>
      <c r="L38" s="7">
        <f t="shared" si="14"/>
        <v>6.8838916934368922E-4</v>
      </c>
    </row>
    <row r="39" spans="1:12" x14ac:dyDescent="0.25">
      <c r="A39" s="4">
        <f t="shared" si="10"/>
        <v>36</v>
      </c>
      <c r="B39" s="4" t="s">
        <v>11</v>
      </c>
      <c r="C39" s="4" t="s">
        <v>16</v>
      </c>
      <c r="D39" s="4" t="s">
        <v>14</v>
      </c>
      <c r="E39" s="5">
        <v>0.333706</v>
      </c>
      <c r="F39" s="7">
        <f t="shared" si="11"/>
        <v>1.3087630352616189E-2</v>
      </c>
      <c r="G39" s="7">
        <v>7.0527000000000006E-2</v>
      </c>
      <c r="H39" s="7">
        <f t="shared" si="12"/>
        <v>2.5742833456957222E-2</v>
      </c>
      <c r="I39" s="5">
        <v>0.35141499999999998</v>
      </c>
      <c r="J39" s="7">
        <f t="shared" si="13"/>
        <v>9.5869316647417494E-3</v>
      </c>
      <c r="K39" s="7">
        <v>5.7391999999999999E-2</v>
      </c>
      <c r="L39" s="7">
        <f t="shared" si="14"/>
        <v>1.3026441204504458E-2</v>
      </c>
    </row>
    <row r="40" spans="1:12" x14ac:dyDescent="0.25">
      <c r="A40" s="4">
        <f t="shared" si="10"/>
        <v>37</v>
      </c>
      <c r="B40" s="4" t="s">
        <v>11</v>
      </c>
      <c r="C40" s="4" t="s">
        <v>17</v>
      </c>
      <c r="D40" s="4" t="s">
        <v>13</v>
      </c>
      <c r="E40" s="5">
        <v>0.32975199999999999</v>
      </c>
      <c r="F40" s="7">
        <f t="shared" si="11"/>
        <v>1.0838051579410623E-3</v>
      </c>
      <c r="G40" s="7">
        <v>6.8862999999999994E-2</v>
      </c>
      <c r="H40" s="7">
        <f t="shared" si="12"/>
        <v>1.5416612126764545E-3</v>
      </c>
      <c r="I40" s="5">
        <v>0.34833700000000001</v>
      </c>
      <c r="J40" s="7">
        <f t="shared" si="13"/>
        <v>7.4408609564525542E-4</v>
      </c>
      <c r="K40" s="7">
        <v>5.6656999999999999E-2</v>
      </c>
      <c r="L40" s="7">
        <f t="shared" si="14"/>
        <v>5.2953013026371681E-5</v>
      </c>
    </row>
    <row r="41" spans="1:12" x14ac:dyDescent="0.25">
      <c r="A41" s="4">
        <f t="shared" si="10"/>
        <v>38</v>
      </c>
      <c r="B41" s="4" t="s">
        <v>11</v>
      </c>
      <c r="C41" s="4" t="s">
        <v>17</v>
      </c>
      <c r="D41" s="4" t="s">
        <v>14</v>
      </c>
      <c r="E41" s="5">
        <v>0.33386700000000002</v>
      </c>
      <c r="F41" s="7">
        <f t="shared" si="11"/>
        <v>1.3576405227766151E-2</v>
      </c>
      <c r="G41" s="7">
        <v>7.1085999999999996E-2</v>
      </c>
      <c r="H41" s="7">
        <f t="shared" si="12"/>
        <v>3.3872914757770087E-2</v>
      </c>
      <c r="I41" s="5">
        <v>0.35150700000000001</v>
      </c>
      <c r="J41" s="7">
        <f t="shared" si="13"/>
        <v>9.8512402392567627E-3</v>
      </c>
      <c r="K41" s="7">
        <v>5.7704999999999999E-2</v>
      </c>
      <c r="L41" s="7">
        <f t="shared" si="14"/>
        <v>1.8551205563596504E-2</v>
      </c>
    </row>
    <row r="42" spans="1:12" x14ac:dyDescent="0.25">
      <c r="A42" s="4">
        <f t="shared" si="10"/>
        <v>39</v>
      </c>
      <c r="B42" s="4" t="s">
        <v>11</v>
      </c>
      <c r="C42" s="4" t="s">
        <v>18</v>
      </c>
      <c r="D42" s="4" t="s">
        <v>13</v>
      </c>
      <c r="E42" s="5">
        <v>0.32972499999999999</v>
      </c>
      <c r="F42" s="7">
        <f t="shared" si="11"/>
        <v>1.00183670061779E-3</v>
      </c>
      <c r="G42" s="7">
        <v>6.8848000000000006E-2</v>
      </c>
      <c r="H42" s="7">
        <f t="shared" si="12"/>
        <v>1.323501607109207E-3</v>
      </c>
      <c r="I42" s="5">
        <v>0.34833700000000001</v>
      </c>
      <c r="J42" s="7">
        <f t="shared" si="13"/>
        <v>7.4408609564525542E-4</v>
      </c>
      <c r="K42" s="7">
        <v>5.6633000000000003E-2</v>
      </c>
      <c r="L42" s="7">
        <f t="shared" si="14"/>
        <v>-3.7067109118509169E-4</v>
      </c>
    </row>
    <row r="43" spans="1:12" x14ac:dyDescent="0.25">
      <c r="A43" s="4">
        <f t="shared" si="10"/>
        <v>40</v>
      </c>
      <c r="B43" s="4" t="s">
        <v>11</v>
      </c>
      <c r="C43" s="4" t="s">
        <v>18</v>
      </c>
      <c r="D43" s="4" t="s">
        <v>14</v>
      </c>
      <c r="E43" s="5">
        <v>0.33396900000000002</v>
      </c>
      <c r="F43" s="7">
        <f t="shared" si="11"/>
        <v>1.3886063844320716E-2</v>
      </c>
      <c r="G43" s="7">
        <v>7.1175000000000002E-2</v>
      </c>
      <c r="H43" s="7">
        <f t="shared" si="12"/>
        <v>3.5167328417470271E-2</v>
      </c>
      <c r="I43" s="5">
        <v>0.35150999999999999</v>
      </c>
      <c r="J43" s="7">
        <f t="shared" si="13"/>
        <v>9.8598589971213083E-3</v>
      </c>
      <c r="K43" s="7">
        <v>5.7682999999999998E-2</v>
      </c>
      <c r="L43" s="7">
        <f t="shared" si="14"/>
        <v>1.8162883468069248E-2</v>
      </c>
    </row>
    <row r="44" spans="1:12" x14ac:dyDescent="0.25">
      <c r="A44" s="4">
        <f t="shared" si="10"/>
        <v>41</v>
      </c>
      <c r="B44" s="4" t="s">
        <v>11</v>
      </c>
      <c r="C44" s="4" t="s">
        <v>19</v>
      </c>
      <c r="D44" s="4" t="s">
        <v>13</v>
      </c>
      <c r="E44" s="5">
        <v>0.32963900000000002</v>
      </c>
      <c r="F44" s="7">
        <f t="shared" si="11"/>
        <v>7.4075198469928803E-4</v>
      </c>
      <c r="G44" s="7">
        <v>6.8828E-2</v>
      </c>
      <c r="H44" s="7">
        <f t="shared" si="12"/>
        <v>1.0326221330192069E-3</v>
      </c>
      <c r="I44" s="5">
        <v>0.348244</v>
      </c>
      <c r="J44" s="7">
        <f t="shared" si="13"/>
        <v>4.7690460184211434E-4</v>
      </c>
      <c r="K44" s="7">
        <v>5.6640999999999997E-2</v>
      </c>
      <c r="L44" s="7">
        <f t="shared" si="14"/>
        <v>-2.2946305644801888E-4</v>
      </c>
    </row>
    <row r="45" spans="1:12" x14ac:dyDescent="0.25">
      <c r="A45" s="4">
        <f t="shared" si="10"/>
        <v>42</v>
      </c>
      <c r="B45" s="4" t="s">
        <v>11</v>
      </c>
      <c r="C45" s="4" t="s">
        <v>19</v>
      </c>
      <c r="D45" s="4" t="s">
        <v>14</v>
      </c>
      <c r="E45" s="5">
        <v>0.33421899999999999</v>
      </c>
      <c r="F45" s="7">
        <f t="shared" si="11"/>
        <v>1.464503104175836E-2</v>
      </c>
      <c r="G45" s="7">
        <v>7.1684999999999999E-2</v>
      </c>
      <c r="H45" s="7">
        <f t="shared" si="12"/>
        <v>4.2584755006762946E-2</v>
      </c>
      <c r="I45" s="5">
        <v>0.351746</v>
      </c>
      <c r="J45" s="7">
        <f t="shared" si="13"/>
        <v>1.0537867949137851E-2</v>
      </c>
      <c r="K45" s="7">
        <v>5.8206000000000001E-2</v>
      </c>
      <c r="L45" s="7">
        <f t="shared" si="14"/>
        <v>2.739435873901221E-2</v>
      </c>
    </row>
    <row r="46" spans="1:12" x14ac:dyDescent="0.25">
      <c r="A46" s="4">
        <f t="shared" si="10"/>
        <v>43</v>
      </c>
      <c r="B46" s="4" t="s">
        <v>11</v>
      </c>
      <c r="C46" s="4" t="s">
        <v>20</v>
      </c>
      <c r="D46" s="4" t="s">
        <v>13</v>
      </c>
      <c r="E46" s="5">
        <v>0.32957399999999998</v>
      </c>
      <c r="F46" s="7">
        <f t="shared" si="11"/>
        <v>5.4342051336536603E-4</v>
      </c>
      <c r="G46" s="7">
        <v>6.8798999999999999E-2</v>
      </c>
      <c r="H46" s="7">
        <f t="shared" si="12"/>
        <v>6.1084689558881813E-4</v>
      </c>
      <c r="I46" s="5">
        <v>0.34819499999999998</v>
      </c>
      <c r="J46" s="7">
        <f t="shared" si="13"/>
        <v>3.3613155671998298E-4</v>
      </c>
      <c r="K46" s="7">
        <v>5.6610000000000001E-2</v>
      </c>
      <c r="L46" s="7">
        <f t="shared" si="14"/>
        <v>-7.7664419105451276E-4</v>
      </c>
    </row>
    <row r="47" spans="1:12" x14ac:dyDescent="0.25">
      <c r="A47" s="4">
        <f t="shared" si="10"/>
        <v>44</v>
      </c>
      <c r="B47" s="4" t="s">
        <v>11</v>
      </c>
      <c r="C47" s="4" t="s">
        <v>20</v>
      </c>
      <c r="D47" s="4" t="s">
        <v>14</v>
      </c>
      <c r="E47" s="5">
        <v>0.33448600000000001</v>
      </c>
      <c r="F47" s="7">
        <f t="shared" si="11"/>
        <v>1.5455608008621904E-2</v>
      </c>
      <c r="G47" s="7">
        <v>7.1938000000000002E-2</v>
      </c>
      <c r="H47" s="7">
        <f t="shared" si="12"/>
        <v>4.6264380354000371E-2</v>
      </c>
      <c r="I47" s="5">
        <v>0.35190199999999999</v>
      </c>
      <c r="J47" s="7">
        <f t="shared" si="13"/>
        <v>1.098604335809788E-2</v>
      </c>
      <c r="K47" s="7">
        <v>5.8455E-2</v>
      </c>
      <c r="L47" s="7">
        <f t="shared" si="14"/>
        <v>3.1789458820206819E-2</v>
      </c>
    </row>
    <row r="48" spans="1:12" x14ac:dyDescent="0.25">
      <c r="A48" s="4">
        <f t="shared" si="10"/>
        <v>45</v>
      </c>
      <c r="B48" s="4" t="s">
        <v>11</v>
      </c>
      <c r="C48" s="4" t="s">
        <v>21</v>
      </c>
      <c r="D48" s="4" t="s">
        <v>13</v>
      </c>
      <c r="E48" s="5">
        <v>0.32950600000000002</v>
      </c>
      <c r="F48" s="7">
        <f t="shared" si="11"/>
        <v>3.3698143566243492E-4</v>
      </c>
      <c r="G48" s="7">
        <v>6.8784999999999999E-2</v>
      </c>
      <c r="H48" s="7">
        <f t="shared" si="12"/>
        <v>4.0723126372587879E-4</v>
      </c>
      <c r="I48" s="5">
        <v>0.34812199999999999</v>
      </c>
      <c r="J48" s="7">
        <f t="shared" si="13"/>
        <v>1.2640844868100969E-4</v>
      </c>
      <c r="K48" s="7">
        <v>5.6612999999999997E-2</v>
      </c>
      <c r="L48" s="7">
        <f t="shared" si="14"/>
        <v>-7.236911780281411E-4</v>
      </c>
    </row>
    <row r="49" spans="1:12" x14ac:dyDescent="0.25">
      <c r="A49" s="4">
        <f t="shared" si="10"/>
        <v>46</v>
      </c>
      <c r="B49" s="4" t="s">
        <v>11</v>
      </c>
      <c r="C49" s="4" t="s">
        <v>21</v>
      </c>
      <c r="D49" s="4" t="s">
        <v>14</v>
      </c>
      <c r="E49" s="5">
        <v>0.33446999999999999</v>
      </c>
      <c r="F49" s="7">
        <f t="shared" si="11"/>
        <v>1.5407034107985841E-2</v>
      </c>
      <c r="G49" s="7">
        <v>7.2139999999999996E-2</v>
      </c>
      <c r="H49" s="7">
        <f t="shared" si="12"/>
        <v>4.9202263042308375E-2</v>
      </c>
      <c r="I49" s="5">
        <v>0.352074</v>
      </c>
      <c r="J49" s="7">
        <f t="shared" si="13"/>
        <v>1.1480185475669246E-2</v>
      </c>
      <c r="K49" s="7">
        <v>5.8744999999999999E-2</v>
      </c>
      <c r="L49" s="7">
        <f t="shared" si="14"/>
        <v>3.6908250079429439E-2</v>
      </c>
    </row>
    <row r="50" spans="1:12" x14ac:dyDescent="0.25">
      <c r="A50" s="4">
        <f t="shared" si="10"/>
        <v>47</v>
      </c>
      <c r="B50" s="4" t="s">
        <v>22</v>
      </c>
      <c r="C50" s="4">
        <v>1E-3</v>
      </c>
      <c r="D50" s="4" t="s">
        <v>23</v>
      </c>
      <c r="E50" s="5">
        <v>0.33396900000000002</v>
      </c>
      <c r="F50" s="7">
        <f t="shared" si="11"/>
        <v>1.3886063844320716E-2</v>
      </c>
      <c r="G50" s="7">
        <v>7.1105000000000002E-2</v>
      </c>
      <c r="H50" s="7">
        <f t="shared" si="12"/>
        <v>3.4149250258155572E-2</v>
      </c>
      <c r="I50" s="5">
        <v>0.35181099999999998</v>
      </c>
      <c r="J50" s="7">
        <f t="shared" si="13"/>
        <v>1.0724607702871156E-2</v>
      </c>
      <c r="K50" s="7">
        <v>5.7895000000000002E-2</v>
      </c>
      <c r="L50" s="7">
        <f t="shared" si="14"/>
        <v>2.1904896388604492E-2</v>
      </c>
    </row>
    <row r="51" spans="1:12" x14ac:dyDescent="0.25">
      <c r="A51" s="4">
        <f t="shared" si="10"/>
        <v>48</v>
      </c>
      <c r="B51" s="4" t="s">
        <v>22</v>
      </c>
      <c r="C51" s="4">
        <v>3.0000000000000001E-3</v>
      </c>
      <c r="D51" s="4" t="s">
        <v>23</v>
      </c>
      <c r="E51" s="5">
        <v>0.332843</v>
      </c>
      <c r="F51" s="7">
        <f t="shared" si="11"/>
        <v>1.0467675587061147E-2</v>
      </c>
      <c r="G51" s="7">
        <v>7.0045999999999997E-2</v>
      </c>
      <c r="H51" s="7">
        <f t="shared" si="12"/>
        <v>1.8747182105094733E-2</v>
      </c>
      <c r="I51" s="5">
        <v>0.35064600000000001</v>
      </c>
      <c r="J51" s="7">
        <f t="shared" si="13"/>
        <v>7.3776567321118102E-3</v>
      </c>
      <c r="K51" s="7">
        <v>5.6985000000000001E-2</v>
      </c>
      <c r="L51" s="7">
        <f t="shared" si="14"/>
        <v>5.8424824372506432E-3</v>
      </c>
    </row>
    <row r="52" spans="1:12" x14ac:dyDescent="0.25">
      <c r="A52" s="4">
        <f t="shared" si="10"/>
        <v>49</v>
      </c>
      <c r="B52" s="4" t="s">
        <v>22</v>
      </c>
      <c r="C52" s="4">
        <v>8.0000000000000002E-3</v>
      </c>
      <c r="D52" s="4" t="s">
        <v>23</v>
      </c>
      <c r="E52" s="5">
        <v>0.33098899999999998</v>
      </c>
      <c r="F52" s="7">
        <f t="shared" si="11"/>
        <v>4.8391748508628983E-3</v>
      </c>
      <c r="G52" s="7">
        <v>6.8986000000000006E-2</v>
      </c>
      <c r="H52" s="7">
        <f t="shared" si="12"/>
        <v>3.3305699783295808E-3</v>
      </c>
      <c r="I52" s="5">
        <v>0.34893099999999999</v>
      </c>
      <c r="J52" s="7">
        <f t="shared" si="13"/>
        <v>2.4506001528392849E-3</v>
      </c>
      <c r="K52" s="7">
        <v>5.6350999999999998E-2</v>
      </c>
      <c r="L52" s="7">
        <f t="shared" si="14"/>
        <v>-5.3482543156706435E-3</v>
      </c>
    </row>
    <row r="53" spans="1:12" x14ac:dyDescent="0.25">
      <c r="A53" s="4">
        <f t="shared" si="10"/>
        <v>50</v>
      </c>
      <c r="B53" s="4" t="s">
        <v>22</v>
      </c>
      <c r="C53" s="4">
        <v>0.02</v>
      </c>
      <c r="D53" s="4" t="s">
        <v>23</v>
      </c>
      <c r="E53" s="5">
        <v>0.32936500000000002</v>
      </c>
      <c r="F53" s="7">
        <f t="shared" si="11"/>
        <v>-9.1076063692449772E-5</v>
      </c>
      <c r="G53" s="7">
        <v>6.8325999999999998E-2</v>
      </c>
      <c r="H53" s="7">
        <f t="shared" si="12"/>
        <v>-6.2684526666375905E-3</v>
      </c>
      <c r="I53" s="5">
        <v>0.34787499999999999</v>
      </c>
      <c r="J53" s="7">
        <f t="shared" si="13"/>
        <v>-5.8320261550574501E-4</v>
      </c>
      <c r="K53" s="7">
        <v>5.6148000000000003E-2</v>
      </c>
      <c r="L53" s="7">
        <f t="shared" si="14"/>
        <v>-8.9314081971264073E-3</v>
      </c>
    </row>
    <row r="54" spans="1:12" x14ac:dyDescent="0.25">
      <c r="A54" s="4">
        <f t="shared" si="10"/>
        <v>51</v>
      </c>
      <c r="B54" s="4" t="s">
        <v>22</v>
      </c>
      <c r="C54" s="4">
        <v>0.05</v>
      </c>
      <c r="D54" s="4" t="s">
        <v>23</v>
      </c>
      <c r="E54" s="5">
        <v>0.32938299999999998</v>
      </c>
      <c r="F54" s="7">
        <f t="shared" si="11"/>
        <v>-3.6430425477047321E-5</v>
      </c>
      <c r="G54" s="7">
        <v>6.8590999999999999E-2</v>
      </c>
      <c r="H54" s="7">
        <f t="shared" si="12"/>
        <v>-2.4142996349462527E-3</v>
      </c>
      <c r="I54" s="5">
        <v>0.34801399999999999</v>
      </c>
      <c r="J54" s="7">
        <f t="shared" si="13"/>
        <v>-1.8386683444517751E-4</v>
      </c>
      <c r="K54" s="7">
        <v>5.6502999999999998E-2</v>
      </c>
      <c r="L54" s="7">
        <f t="shared" si="14"/>
        <v>-2.6653016556643008E-3</v>
      </c>
    </row>
    <row r="55" spans="1:12" x14ac:dyDescent="0.25">
      <c r="A55" s="4">
        <f t="shared" si="10"/>
        <v>52</v>
      </c>
      <c r="B55" s="4" t="s">
        <v>22</v>
      </c>
      <c r="C55" s="4">
        <v>0.15</v>
      </c>
      <c r="D55" s="4" t="s">
        <v>23</v>
      </c>
      <c r="E55" s="5">
        <v>0.32940799999999998</v>
      </c>
      <c r="F55" s="7">
        <f t="shared" si="11"/>
        <v>3.9466294266716996E-5</v>
      </c>
      <c r="G55" s="7">
        <v>6.8752999999999995E-2</v>
      </c>
      <c r="H55" s="7">
        <f t="shared" si="12"/>
        <v>-5.8175894818040355E-5</v>
      </c>
      <c r="I55" s="5">
        <v>0.34809699999999999</v>
      </c>
      <c r="J55" s="7">
        <f t="shared" si="13"/>
        <v>5.4585466475879679E-5</v>
      </c>
      <c r="K55" s="7">
        <v>5.6647000000000003E-2</v>
      </c>
      <c r="L55" s="7">
        <f t="shared" si="14"/>
        <v>-1.2355703039503056E-4</v>
      </c>
    </row>
    <row r="56" spans="1:12" x14ac:dyDescent="0.25">
      <c r="A56" s="4">
        <f t="shared" si="10"/>
        <v>53</v>
      </c>
      <c r="B56" s="4" t="s">
        <v>22</v>
      </c>
      <c r="C56" s="4">
        <v>1E-3</v>
      </c>
      <c r="D56" s="4" t="s">
        <v>24</v>
      </c>
      <c r="E56" s="5">
        <v>0.33375300000000002</v>
      </c>
      <c r="F56" s="7">
        <f t="shared" si="11"/>
        <v>1.323031618573454E-2</v>
      </c>
      <c r="G56" s="7">
        <v>7.1399000000000004E-2</v>
      </c>
      <c r="H56" s="7">
        <f t="shared" si="12"/>
        <v>3.8425178527277302E-2</v>
      </c>
      <c r="I56" s="5">
        <v>0.35173900000000002</v>
      </c>
      <c r="J56" s="7">
        <f t="shared" si="13"/>
        <v>1.0517757514120471E-2</v>
      </c>
      <c r="K56" s="7">
        <v>5.8187999999999997E-2</v>
      </c>
      <c r="L56" s="7">
        <f t="shared" si="14"/>
        <v>2.7076640660853489E-2</v>
      </c>
    </row>
    <row r="57" spans="1:12" x14ac:dyDescent="0.25">
      <c r="A57" s="4">
        <f t="shared" si="10"/>
        <v>54</v>
      </c>
      <c r="B57" s="4" t="s">
        <v>22</v>
      </c>
      <c r="C57" s="4">
        <v>3.0000000000000001E-3</v>
      </c>
      <c r="D57" s="4" t="s">
        <v>24</v>
      </c>
      <c r="E57" s="5">
        <v>0.33384399999999997</v>
      </c>
      <c r="F57" s="7">
        <f t="shared" si="11"/>
        <v>1.3506580245601727E-2</v>
      </c>
      <c r="G57" s="7">
        <v>7.1010000000000004E-2</v>
      </c>
      <c r="H57" s="7">
        <f t="shared" si="12"/>
        <v>3.2767572756228533E-2</v>
      </c>
      <c r="I57" s="5">
        <v>0.35187800000000002</v>
      </c>
      <c r="J57" s="7">
        <f t="shared" si="13"/>
        <v>1.0917093295181039E-2</v>
      </c>
      <c r="K57" s="7">
        <v>5.7889000000000003E-2</v>
      </c>
      <c r="L57" s="7">
        <f t="shared" si="14"/>
        <v>2.1798990362551628E-2</v>
      </c>
    </row>
    <row r="58" spans="1:12" x14ac:dyDescent="0.25">
      <c r="A58" s="4">
        <f t="shared" si="10"/>
        <v>55</v>
      </c>
      <c r="B58" s="4" t="s">
        <v>22</v>
      </c>
      <c r="C58" s="4">
        <v>8.0000000000000002E-3</v>
      </c>
      <c r="D58" s="4" t="s">
        <v>24</v>
      </c>
      <c r="E58" s="5">
        <v>0.33388699999999999</v>
      </c>
      <c r="F58" s="7">
        <f t="shared" si="11"/>
        <v>1.3637122603561062E-2</v>
      </c>
      <c r="G58" s="7">
        <v>7.0430999999999994E-2</v>
      </c>
      <c r="H58" s="7">
        <f t="shared" si="12"/>
        <v>2.4346611981325466E-2</v>
      </c>
      <c r="I58" s="5">
        <v>0.35193600000000003</v>
      </c>
      <c r="J58" s="7">
        <f t="shared" si="13"/>
        <v>1.1083722613896965E-2</v>
      </c>
      <c r="K58" s="7">
        <v>5.7410999999999997E-2</v>
      </c>
      <c r="L58" s="7">
        <f t="shared" si="14"/>
        <v>1.336181028700522E-2</v>
      </c>
    </row>
    <row r="59" spans="1:12" x14ac:dyDescent="0.25">
      <c r="A59" s="4">
        <f t="shared" si="10"/>
        <v>56</v>
      </c>
      <c r="B59" s="4" t="s">
        <v>22</v>
      </c>
      <c r="C59" s="4">
        <v>0.02</v>
      </c>
      <c r="D59" s="4" t="s">
        <v>24</v>
      </c>
      <c r="E59" s="5">
        <v>0.33364300000000002</v>
      </c>
      <c r="F59" s="7">
        <f t="shared" si="11"/>
        <v>1.2896370618861943E-2</v>
      </c>
      <c r="G59" s="7">
        <v>6.9750999999999994E-2</v>
      </c>
      <c r="H59" s="7">
        <f t="shared" si="12"/>
        <v>1.4456709862268494E-2</v>
      </c>
      <c r="I59" s="5">
        <v>0.351522</v>
      </c>
      <c r="J59" s="7">
        <f t="shared" si="13"/>
        <v>9.8943340285798081E-3</v>
      </c>
      <c r="K59" s="7">
        <v>5.6753999999999999E-2</v>
      </c>
      <c r="L59" s="7">
        <f t="shared" si="14"/>
        <v>1.7651004342146349E-3</v>
      </c>
    </row>
    <row r="60" spans="1:12" x14ac:dyDescent="0.25">
      <c r="A60" s="4">
        <f t="shared" si="10"/>
        <v>57</v>
      </c>
      <c r="B60" s="4" t="s">
        <v>22</v>
      </c>
      <c r="C60" s="4">
        <v>0.05</v>
      </c>
      <c r="D60" s="4" t="s">
        <v>24</v>
      </c>
      <c r="E60" s="5">
        <v>0.33263700000000002</v>
      </c>
      <c r="F60" s="7">
        <f t="shared" si="11"/>
        <v>9.842286616372509E-3</v>
      </c>
      <c r="G60" s="7">
        <v>6.9163000000000002E-2</v>
      </c>
      <c r="H60" s="7">
        <f t="shared" si="12"/>
        <v>5.9048533240252422E-3</v>
      </c>
      <c r="I60" s="5">
        <v>0.35077199999999997</v>
      </c>
      <c r="J60" s="7">
        <f t="shared" si="13"/>
        <v>7.7396445624255891E-3</v>
      </c>
      <c r="K60" s="7">
        <v>5.6494999999999997E-2</v>
      </c>
      <c r="L60" s="7">
        <f t="shared" si="14"/>
        <v>-2.806509690401496E-3</v>
      </c>
    </row>
    <row r="61" spans="1:12" x14ac:dyDescent="0.25">
      <c r="A61" s="4">
        <f t="shared" si="10"/>
        <v>58</v>
      </c>
      <c r="B61" s="4" t="s">
        <v>22</v>
      </c>
      <c r="C61" s="4">
        <v>0.15</v>
      </c>
      <c r="D61" s="4" t="s">
        <v>24</v>
      </c>
      <c r="E61" s="5">
        <v>0.33035300000000001</v>
      </c>
      <c r="F61" s="7">
        <f t="shared" si="11"/>
        <v>2.9083623005814125E-3</v>
      </c>
      <c r="G61" s="7">
        <v>6.8856000000000001E-2</v>
      </c>
      <c r="H61" s="7">
        <f t="shared" si="12"/>
        <v>1.4398533967450858E-3</v>
      </c>
      <c r="I61" s="5">
        <v>0.34895500000000002</v>
      </c>
      <c r="J61" s="7">
        <f t="shared" si="13"/>
        <v>2.5195502157562863E-3</v>
      </c>
      <c r="K61" s="7">
        <v>5.6751999999999997E-2</v>
      </c>
      <c r="L61" s="7">
        <f t="shared" si="14"/>
        <v>1.7297984255303053E-3</v>
      </c>
    </row>
    <row r="62" spans="1:12" x14ac:dyDescent="0.25">
      <c r="A62" s="4">
        <f t="shared" si="10"/>
        <v>59</v>
      </c>
      <c r="B62" s="4" t="s">
        <v>22</v>
      </c>
      <c r="C62" s="4">
        <v>1E-3</v>
      </c>
      <c r="D62" s="4" t="s">
        <v>25</v>
      </c>
      <c r="E62" s="5">
        <v>0.33387899999999998</v>
      </c>
      <c r="F62" s="7">
        <f t="shared" si="11"/>
        <v>1.3612835653243031E-2</v>
      </c>
      <c r="G62" s="7">
        <v>7.1365999999999999E-2</v>
      </c>
      <c r="H62" s="7">
        <f t="shared" si="12"/>
        <v>3.7945227395028876E-2</v>
      </c>
      <c r="I62" s="5">
        <v>0.35187000000000002</v>
      </c>
      <c r="J62" s="7">
        <f t="shared" si="13"/>
        <v>1.0894109940875371E-2</v>
      </c>
      <c r="K62" s="7">
        <v>5.8173999999999997E-2</v>
      </c>
      <c r="L62" s="7">
        <f t="shared" si="14"/>
        <v>2.6829526600063429E-2</v>
      </c>
    </row>
    <row r="63" spans="1:12" x14ac:dyDescent="0.25">
      <c r="A63" s="4">
        <f t="shared" si="10"/>
        <v>60</v>
      </c>
      <c r="B63" s="4" t="s">
        <v>22</v>
      </c>
      <c r="C63" s="4">
        <v>3.0000000000000001E-3</v>
      </c>
      <c r="D63" s="4" t="s">
        <v>25</v>
      </c>
      <c r="E63" s="5">
        <v>0.33396799999999999</v>
      </c>
      <c r="F63" s="7">
        <f t="shared" si="11"/>
        <v>1.3883027975530879E-2</v>
      </c>
      <c r="G63" s="7">
        <v>7.0896000000000001E-2</v>
      </c>
      <c r="H63" s="7">
        <f t="shared" si="12"/>
        <v>3.1109559753915994E-2</v>
      </c>
      <c r="I63" s="5">
        <v>0.35205500000000001</v>
      </c>
      <c r="J63" s="7">
        <f t="shared" si="13"/>
        <v>1.1425600009193366E-2</v>
      </c>
      <c r="K63" s="7">
        <v>5.7854000000000003E-2</v>
      </c>
      <c r="L63" s="7">
        <f t="shared" si="14"/>
        <v>2.1181205210576474E-2</v>
      </c>
    </row>
    <row r="64" spans="1:12" x14ac:dyDescent="0.25">
      <c r="A64" s="4">
        <f t="shared" si="10"/>
        <v>61</v>
      </c>
      <c r="B64" s="4" t="s">
        <v>22</v>
      </c>
      <c r="C64" s="4">
        <v>8.0000000000000002E-3</v>
      </c>
      <c r="D64" s="4" t="s">
        <v>25</v>
      </c>
      <c r="E64" s="5">
        <v>0.33371099999999998</v>
      </c>
      <c r="F64" s="7">
        <f t="shared" si="11"/>
        <v>1.3102809696564873E-2</v>
      </c>
      <c r="G64" s="7">
        <v>7.0084999999999995E-2</v>
      </c>
      <c r="H64" s="7">
        <f t="shared" si="12"/>
        <v>1.9314397079570021E-2</v>
      </c>
      <c r="I64" s="5">
        <v>0.35167700000000002</v>
      </c>
      <c r="J64" s="7">
        <f t="shared" si="13"/>
        <v>1.033963651825171E-2</v>
      </c>
      <c r="K64" s="7">
        <v>5.7105999999999997E-2</v>
      </c>
      <c r="L64" s="7">
        <f t="shared" si="14"/>
        <v>7.9782539626503703E-3</v>
      </c>
    </row>
    <row r="65" spans="1:12" x14ac:dyDescent="0.25">
      <c r="A65" s="4">
        <f t="shared" si="10"/>
        <v>62</v>
      </c>
      <c r="B65" s="4" t="s">
        <v>22</v>
      </c>
      <c r="C65" s="4">
        <v>0.02</v>
      </c>
      <c r="D65" s="4" t="s">
        <v>25</v>
      </c>
      <c r="E65" s="5">
        <v>0.33251599999999998</v>
      </c>
      <c r="F65" s="7">
        <f t="shared" si="11"/>
        <v>9.4749464928125353E-3</v>
      </c>
      <c r="G65" s="7">
        <v>6.9231000000000001E-2</v>
      </c>
      <c r="H65" s="7">
        <f t="shared" si="12"/>
        <v>6.8938435359309188E-3</v>
      </c>
      <c r="I65" s="5">
        <v>0.350356</v>
      </c>
      <c r="J65" s="7">
        <f t="shared" si="13"/>
        <v>6.5445101385321744E-3</v>
      </c>
      <c r="K65" s="7">
        <v>5.6188000000000002E-2</v>
      </c>
      <c r="L65" s="7">
        <f t="shared" si="14"/>
        <v>-8.2253680234405536E-3</v>
      </c>
    </row>
    <row r="66" spans="1:12" x14ac:dyDescent="0.25">
      <c r="A66" s="4">
        <f t="shared" si="10"/>
        <v>63</v>
      </c>
      <c r="B66" s="4" t="s">
        <v>22</v>
      </c>
      <c r="C66" s="4">
        <v>0.05</v>
      </c>
      <c r="D66" s="4" t="s">
        <v>25</v>
      </c>
      <c r="E66" s="5">
        <v>0.33008799999999999</v>
      </c>
      <c r="F66" s="7">
        <f t="shared" si="11"/>
        <v>2.1038570712973762E-3</v>
      </c>
      <c r="G66" s="7">
        <v>6.8650000000000003E-2</v>
      </c>
      <c r="H66" s="7">
        <f t="shared" si="12"/>
        <v>-1.5562051863809647E-3</v>
      </c>
      <c r="I66" s="5">
        <v>0.34834300000000001</v>
      </c>
      <c r="J66" s="7">
        <f t="shared" si="13"/>
        <v>7.6132361137450576E-4</v>
      </c>
      <c r="K66" s="7">
        <v>5.6271000000000002E-2</v>
      </c>
      <c r="L66" s="7">
        <f t="shared" si="14"/>
        <v>-6.7603346630423517E-3</v>
      </c>
    </row>
    <row r="67" spans="1:12" x14ac:dyDescent="0.25">
      <c r="A67" s="4">
        <f t="shared" si="10"/>
        <v>64</v>
      </c>
      <c r="B67" s="4" t="s">
        <v>22</v>
      </c>
      <c r="C67" s="4">
        <v>0.15</v>
      </c>
      <c r="D67" s="4" t="s">
        <v>25</v>
      </c>
      <c r="E67" s="5">
        <v>0.32946999999999999</v>
      </c>
      <c r="F67" s="7">
        <f t="shared" si="11"/>
        <v>2.2769015923129296E-4</v>
      </c>
      <c r="G67" s="7">
        <v>6.8756999999999999E-2</v>
      </c>
      <c r="H67" s="7">
        <f t="shared" si="12"/>
        <v>0</v>
      </c>
      <c r="I67" s="5">
        <v>0.34810000000000002</v>
      </c>
      <c r="J67" s="7">
        <f t="shared" si="13"/>
        <v>6.3204224340584588E-5</v>
      </c>
      <c r="K67" s="7">
        <v>5.6626000000000003E-2</v>
      </c>
      <c r="L67" s="7">
        <f t="shared" si="14"/>
        <v>-4.9422812158012226E-4</v>
      </c>
    </row>
    <row r="68" spans="1:12" x14ac:dyDescent="0.25">
      <c r="A68" s="4">
        <f t="shared" ref="A68:A99" si="15">A67+1</f>
        <v>65</v>
      </c>
      <c r="B68" s="4" t="s">
        <v>22</v>
      </c>
      <c r="C68" s="4">
        <v>1E-3</v>
      </c>
      <c r="D68" s="4" t="s">
        <v>26</v>
      </c>
      <c r="E68" s="5">
        <v>0.333841</v>
      </c>
      <c r="F68" s="7">
        <f t="shared" ref="F68:F99" si="16">IF(ISNUMBER(E68),(E68-E$3)/E$3,"")</f>
        <v>1.3497472639232549E-2</v>
      </c>
      <c r="G68" s="7">
        <v>7.1333999999999995E-2</v>
      </c>
      <c r="H68" s="7">
        <f t="shared" ref="H68:H99" si="17">IF(ISNUMBER(G68),(G68-G$3)/G$3,"")</f>
        <v>3.7479820236484954E-2</v>
      </c>
      <c r="I68" s="5">
        <v>0.35183999999999999</v>
      </c>
      <c r="J68" s="7">
        <f t="shared" ref="J68:J99" si="18">IF(ISNUMBER(I68),(I68-I$3)/I$3,"")</f>
        <v>1.0807922362229119E-2</v>
      </c>
      <c r="K68" s="7">
        <v>5.8139000000000003E-2</v>
      </c>
      <c r="L68" s="7">
        <f t="shared" ref="L68:L99" si="19">IF(ISNUMBER(K68),(K68-K$3)/K$3,"")</f>
        <v>2.62117414480884E-2</v>
      </c>
    </row>
    <row r="69" spans="1:12" x14ac:dyDescent="0.25">
      <c r="A69" s="4">
        <f t="shared" si="15"/>
        <v>66</v>
      </c>
      <c r="B69" s="4" t="s">
        <v>22</v>
      </c>
      <c r="C69" s="4">
        <v>3.0000000000000001E-3</v>
      </c>
      <c r="D69" s="4" t="s">
        <v>26</v>
      </c>
      <c r="E69" s="5">
        <v>0.333951</v>
      </c>
      <c r="F69" s="7">
        <f t="shared" si="16"/>
        <v>1.3831418206105147E-2</v>
      </c>
      <c r="G69" s="7">
        <v>7.0910000000000001E-2</v>
      </c>
      <c r="H69" s="7">
        <f t="shared" si="17"/>
        <v>3.1313175385778935E-2</v>
      </c>
      <c r="I69" s="5">
        <v>0.352024</v>
      </c>
      <c r="J69" s="7">
        <f t="shared" si="18"/>
        <v>1.1336539511258984E-2</v>
      </c>
      <c r="K69" s="7">
        <v>5.7868999999999997E-2</v>
      </c>
      <c r="L69" s="7">
        <f t="shared" si="19"/>
        <v>2.1445970275708579E-2</v>
      </c>
    </row>
    <row r="70" spans="1:12" x14ac:dyDescent="0.25">
      <c r="A70" s="4">
        <f t="shared" si="15"/>
        <v>67</v>
      </c>
      <c r="B70" s="4" t="s">
        <v>22</v>
      </c>
      <c r="C70" s="4">
        <v>8.0000000000000002E-3</v>
      </c>
      <c r="D70" s="4" t="s">
        <v>26</v>
      </c>
      <c r="E70" s="5">
        <v>0.33364899999999997</v>
      </c>
      <c r="F70" s="7">
        <f t="shared" si="16"/>
        <v>1.2914585831600298E-2</v>
      </c>
      <c r="G70" s="7">
        <v>7.0016999999999996E-2</v>
      </c>
      <c r="H70" s="7">
        <f t="shared" si="17"/>
        <v>1.8325406867664342E-2</v>
      </c>
      <c r="I70" s="5">
        <v>0.35161700000000001</v>
      </c>
      <c r="J70" s="7">
        <f t="shared" si="18"/>
        <v>1.0167261360959367E-2</v>
      </c>
      <c r="K70" s="7">
        <v>5.7055000000000002E-2</v>
      </c>
      <c r="L70" s="7">
        <f t="shared" si="19"/>
        <v>7.0780527412009492E-3</v>
      </c>
    </row>
    <row r="71" spans="1:12" x14ac:dyDescent="0.25">
      <c r="A71" s="4">
        <f t="shared" si="15"/>
        <v>68</v>
      </c>
      <c r="B71" s="4" t="s">
        <v>22</v>
      </c>
      <c r="C71" s="4">
        <v>0.02</v>
      </c>
      <c r="D71" s="4" t="s">
        <v>26</v>
      </c>
      <c r="E71" s="5">
        <v>0.332509</v>
      </c>
      <c r="F71" s="7">
        <f t="shared" si="16"/>
        <v>9.4536954112843415E-3</v>
      </c>
      <c r="G71" s="7">
        <v>6.9116999999999998E-2</v>
      </c>
      <c r="H71" s="7">
        <f t="shared" si="17"/>
        <v>5.2358305336183842E-3</v>
      </c>
      <c r="I71" s="5">
        <v>0.35034500000000002</v>
      </c>
      <c r="J71" s="7">
        <f t="shared" si="18"/>
        <v>6.5129080263619616E-3</v>
      </c>
      <c r="K71" s="7">
        <v>5.6043999999999997E-2</v>
      </c>
      <c r="L71" s="7">
        <f t="shared" si="19"/>
        <v>-1.0767112648709824E-2</v>
      </c>
    </row>
    <row r="72" spans="1:12" x14ac:dyDescent="0.25">
      <c r="A72" s="4">
        <f t="shared" si="15"/>
        <v>69</v>
      </c>
      <c r="B72" s="4" t="s">
        <v>22</v>
      </c>
      <c r="C72" s="4">
        <v>0.05</v>
      </c>
      <c r="D72" s="4" t="s">
        <v>26</v>
      </c>
      <c r="E72" s="5">
        <v>0.33036599999999999</v>
      </c>
      <c r="F72" s="7">
        <f t="shared" si="16"/>
        <v>2.9478285948481295E-3</v>
      </c>
      <c r="G72" s="7">
        <v>6.8724999999999994E-2</v>
      </c>
      <c r="H72" s="7">
        <f t="shared" si="17"/>
        <v>-4.6540715854391913E-4</v>
      </c>
      <c r="I72" s="5">
        <v>0.34846199999999999</v>
      </c>
      <c r="J72" s="7">
        <f t="shared" si="18"/>
        <v>1.1032010066709056E-3</v>
      </c>
      <c r="K72" s="7">
        <v>5.6258000000000002E-2</v>
      </c>
      <c r="L72" s="7">
        <f t="shared" si="19"/>
        <v>-6.9897977194902476E-3</v>
      </c>
    </row>
    <row r="73" spans="1:12" x14ac:dyDescent="0.25">
      <c r="A73" s="4">
        <f t="shared" si="15"/>
        <v>70</v>
      </c>
      <c r="B73" s="4" t="s">
        <v>22</v>
      </c>
      <c r="C73" s="4">
        <v>0.15</v>
      </c>
      <c r="D73" s="4" t="s">
        <v>26</v>
      </c>
      <c r="E73" s="5">
        <v>0.32948300000000003</v>
      </c>
      <c r="F73" s="7">
        <f t="shared" si="16"/>
        <v>2.6715645349817846E-4</v>
      </c>
      <c r="G73" s="7">
        <v>6.8770999999999999E-2</v>
      </c>
      <c r="H73" s="7">
        <f t="shared" si="17"/>
        <v>2.0361563186293939E-4</v>
      </c>
      <c r="I73" s="5">
        <v>0.34811799999999998</v>
      </c>
      <c r="J73" s="7">
        <f t="shared" si="18"/>
        <v>1.1491677152817614E-4</v>
      </c>
      <c r="K73" s="7">
        <v>5.6651E-2</v>
      </c>
      <c r="L73" s="7">
        <f t="shared" si="19"/>
        <v>-5.2953013026494162E-5</v>
      </c>
    </row>
    <row r="74" spans="1:12" x14ac:dyDescent="0.25">
      <c r="A74" s="4">
        <f t="shared" si="15"/>
        <v>71</v>
      </c>
      <c r="B74" s="4" t="s">
        <v>22</v>
      </c>
      <c r="C74" s="4">
        <v>1E-3</v>
      </c>
      <c r="D74" s="4" t="s">
        <v>27</v>
      </c>
      <c r="E74" s="5">
        <v>0.33376099999999997</v>
      </c>
      <c r="F74" s="7">
        <f t="shared" si="16"/>
        <v>1.3254603136052402E-2</v>
      </c>
      <c r="G74" s="7">
        <v>7.1417999999999995E-2</v>
      </c>
      <c r="H74" s="7">
        <f t="shared" si="17"/>
        <v>3.8701514027662594E-2</v>
      </c>
      <c r="I74" s="5">
        <v>0.35173900000000002</v>
      </c>
      <c r="J74" s="7">
        <f t="shared" si="18"/>
        <v>1.0517757514120471E-2</v>
      </c>
      <c r="K74" s="7">
        <v>5.8195999999999998E-2</v>
      </c>
      <c r="L74" s="7">
        <f t="shared" si="19"/>
        <v>2.7217848695590685E-2</v>
      </c>
    </row>
    <row r="75" spans="1:12" x14ac:dyDescent="0.25">
      <c r="A75" s="4">
        <f t="shared" si="15"/>
        <v>72</v>
      </c>
      <c r="B75" s="4" t="s">
        <v>22</v>
      </c>
      <c r="C75" s="4">
        <v>3.0000000000000001E-3</v>
      </c>
      <c r="D75" s="4" t="s">
        <v>27</v>
      </c>
      <c r="E75" s="5">
        <v>0.333816</v>
      </c>
      <c r="F75" s="7">
        <f t="shared" si="16"/>
        <v>1.3421575919488785E-2</v>
      </c>
      <c r="G75" s="7">
        <v>7.1010000000000004E-2</v>
      </c>
      <c r="H75" s="7">
        <f t="shared" si="17"/>
        <v>3.2767572756228533E-2</v>
      </c>
      <c r="I75" s="5">
        <v>0.35186000000000001</v>
      </c>
      <c r="J75" s="7">
        <f t="shared" si="18"/>
        <v>1.0865380747993288E-2</v>
      </c>
      <c r="K75" s="7">
        <v>5.7917000000000003E-2</v>
      </c>
      <c r="L75" s="7">
        <f t="shared" si="19"/>
        <v>2.2293218484131749E-2</v>
      </c>
    </row>
    <row r="76" spans="1:12" x14ac:dyDescent="0.25">
      <c r="A76" s="4">
        <f t="shared" si="15"/>
        <v>73</v>
      </c>
      <c r="B76" s="4" t="s">
        <v>22</v>
      </c>
      <c r="C76" s="4">
        <v>8.0000000000000002E-3</v>
      </c>
      <c r="D76" s="4" t="s">
        <v>27</v>
      </c>
      <c r="E76" s="5">
        <v>0.33374799999999999</v>
      </c>
      <c r="F76" s="7">
        <f t="shared" si="16"/>
        <v>1.3215136841785685E-2</v>
      </c>
      <c r="G76" s="7">
        <v>7.0391999999999996E-2</v>
      </c>
      <c r="H76" s="7">
        <f t="shared" si="17"/>
        <v>2.3779397006850177E-2</v>
      </c>
      <c r="I76" s="5">
        <v>0.35179899999999997</v>
      </c>
      <c r="J76" s="7">
        <f t="shared" si="18"/>
        <v>1.0690132671412656E-2</v>
      </c>
      <c r="K76" s="7">
        <v>5.7376999999999997E-2</v>
      </c>
      <c r="L76" s="7">
        <f t="shared" si="19"/>
        <v>1.2761676139372232E-2</v>
      </c>
    </row>
    <row r="77" spans="1:12" x14ac:dyDescent="0.25">
      <c r="A77" s="4">
        <f t="shared" si="15"/>
        <v>74</v>
      </c>
      <c r="B77" s="4" t="s">
        <v>22</v>
      </c>
      <c r="C77" s="4">
        <v>0.02</v>
      </c>
      <c r="D77" s="4" t="s">
        <v>27</v>
      </c>
      <c r="E77" s="5">
        <v>0.33357399999999998</v>
      </c>
      <c r="F77" s="7">
        <f t="shared" si="16"/>
        <v>1.2686895672369004E-2</v>
      </c>
      <c r="G77" s="7">
        <v>6.9806999999999994E-2</v>
      </c>
      <c r="H77" s="7">
        <f t="shared" si="17"/>
        <v>1.5271172389720252E-2</v>
      </c>
      <c r="I77" s="5">
        <v>0.35145700000000002</v>
      </c>
      <c r="J77" s="7">
        <f t="shared" si="18"/>
        <v>9.7075942748465031E-3</v>
      </c>
      <c r="K77" s="7">
        <v>5.6917000000000002E-2</v>
      </c>
      <c r="L77" s="7">
        <f t="shared" si="19"/>
        <v>4.6422141419846675E-3</v>
      </c>
    </row>
    <row r="78" spans="1:12" x14ac:dyDescent="0.25">
      <c r="A78" s="4">
        <f t="shared" si="15"/>
        <v>75</v>
      </c>
      <c r="B78" s="4" t="s">
        <v>22</v>
      </c>
      <c r="C78" s="4">
        <v>0.05</v>
      </c>
      <c r="D78" s="4" t="s">
        <v>27</v>
      </c>
      <c r="E78" s="5">
        <v>0.33294000000000001</v>
      </c>
      <c r="F78" s="7">
        <f t="shared" si="16"/>
        <v>1.0762154859667028E-2</v>
      </c>
      <c r="G78" s="7">
        <v>6.9307999999999995E-2</v>
      </c>
      <c r="H78" s="7">
        <f t="shared" si="17"/>
        <v>8.0137295111769851E-3</v>
      </c>
      <c r="I78" s="5">
        <v>0.35111300000000001</v>
      </c>
      <c r="J78" s="7">
        <f t="shared" si="18"/>
        <v>8.7193100397037725E-3</v>
      </c>
      <c r="K78" s="7">
        <v>5.6582E-2</v>
      </c>
      <c r="L78" s="7">
        <f t="shared" si="19"/>
        <v>-1.2708723126346351E-3</v>
      </c>
    </row>
    <row r="79" spans="1:12" x14ac:dyDescent="0.25">
      <c r="A79" s="4">
        <f t="shared" si="15"/>
        <v>76</v>
      </c>
      <c r="B79" s="4" t="s">
        <v>22</v>
      </c>
      <c r="C79" s="4">
        <v>0.15</v>
      </c>
      <c r="D79" s="4" t="s">
        <v>27</v>
      </c>
      <c r="E79" s="5">
        <v>0.33130300000000001</v>
      </c>
      <c r="F79" s="7">
        <f t="shared" si="16"/>
        <v>5.792437650844794E-3</v>
      </c>
      <c r="G79" s="7">
        <v>6.9065000000000001E-2</v>
      </c>
      <c r="H79" s="7">
        <f t="shared" si="17"/>
        <v>4.479543900984667E-3</v>
      </c>
      <c r="I79" s="5">
        <v>0.34982600000000003</v>
      </c>
      <c r="J79" s="7">
        <f t="shared" si="18"/>
        <v>5.0218629157833226E-3</v>
      </c>
      <c r="K79" s="7">
        <v>5.6777000000000001E-2</v>
      </c>
      <c r="L79" s="7">
        <f t="shared" si="19"/>
        <v>2.171073534084056E-3</v>
      </c>
    </row>
    <row r="80" spans="1:12" x14ac:dyDescent="0.25">
      <c r="A80" s="4">
        <f t="shared" si="15"/>
        <v>77</v>
      </c>
      <c r="B80" s="4" t="s">
        <v>22</v>
      </c>
      <c r="C80" s="4" t="s">
        <v>12</v>
      </c>
      <c r="D80" s="4" t="s">
        <v>13</v>
      </c>
      <c r="E80" s="5">
        <v>0.33335300000000001</v>
      </c>
      <c r="F80" s="7">
        <f t="shared" si="16"/>
        <v>1.2015968669834141E-2</v>
      </c>
      <c r="G80" s="7">
        <v>7.0584999999999995E-2</v>
      </c>
      <c r="H80" s="7">
        <f t="shared" si="17"/>
        <v>2.6586383931817798E-2</v>
      </c>
      <c r="I80" s="5">
        <v>0.35160999999999998</v>
      </c>
      <c r="J80" s="7">
        <f t="shared" si="18"/>
        <v>1.0147150925941827E-2</v>
      </c>
      <c r="K80" s="7">
        <v>5.7834000000000003E-2</v>
      </c>
      <c r="L80" s="7">
        <f t="shared" si="19"/>
        <v>2.0828185123733547E-2</v>
      </c>
    </row>
    <row r="81" spans="1:12" x14ac:dyDescent="0.25">
      <c r="A81" s="4">
        <f t="shared" si="15"/>
        <v>78</v>
      </c>
      <c r="B81" s="4" t="s">
        <v>22</v>
      </c>
      <c r="C81" s="4" t="s">
        <v>12</v>
      </c>
      <c r="D81" s="4" t="s">
        <v>14</v>
      </c>
      <c r="E81" s="5">
        <v>0.33340999999999998</v>
      </c>
      <c r="F81" s="7">
        <f t="shared" si="16"/>
        <v>1.2189013190849864E-2</v>
      </c>
      <c r="G81" s="7">
        <v>7.0357000000000003E-2</v>
      </c>
      <c r="H81" s="7">
        <f t="shared" si="17"/>
        <v>2.3270357927192929E-2</v>
      </c>
      <c r="I81" s="5">
        <v>0.35152299999999997</v>
      </c>
      <c r="J81" s="7">
        <f t="shared" si="18"/>
        <v>9.8972069478679373E-3</v>
      </c>
      <c r="K81" s="7">
        <v>5.7592999999999998E-2</v>
      </c>
      <c r="L81" s="7">
        <f t="shared" si="19"/>
        <v>1.6574293077276016E-2</v>
      </c>
    </row>
    <row r="82" spans="1:12" x14ac:dyDescent="0.25">
      <c r="A82" s="4">
        <f t="shared" si="15"/>
        <v>79</v>
      </c>
      <c r="B82" s="4" t="s">
        <v>22</v>
      </c>
      <c r="C82" s="4" t="s">
        <v>15</v>
      </c>
      <c r="D82" s="4" t="s">
        <v>13</v>
      </c>
      <c r="E82" s="5">
        <v>0.33157700000000001</v>
      </c>
      <c r="F82" s="7">
        <f t="shared" si="16"/>
        <v>6.6242656992365314E-3</v>
      </c>
      <c r="G82" s="7">
        <v>6.9478999999999999E-2</v>
      </c>
      <c r="H82" s="7">
        <f t="shared" si="17"/>
        <v>1.0500749014645788E-2</v>
      </c>
      <c r="I82" s="5">
        <v>0.34988900000000001</v>
      </c>
      <c r="J82" s="7">
        <f t="shared" si="18"/>
        <v>5.2028568309402121E-3</v>
      </c>
      <c r="K82" s="7">
        <v>5.6981999999999998E-2</v>
      </c>
      <c r="L82" s="7">
        <f t="shared" si="19"/>
        <v>5.7895294242241487E-3</v>
      </c>
    </row>
    <row r="83" spans="1:12" x14ac:dyDescent="0.25">
      <c r="A83" s="4">
        <f t="shared" si="15"/>
        <v>80</v>
      </c>
      <c r="B83" s="4" t="s">
        <v>22</v>
      </c>
      <c r="C83" s="4" t="s">
        <v>15</v>
      </c>
      <c r="D83" s="4" t="s">
        <v>14</v>
      </c>
      <c r="E83" s="5">
        <v>0.33357199999999998</v>
      </c>
      <c r="F83" s="7">
        <f t="shared" si="16"/>
        <v>1.2680823934789497E-2</v>
      </c>
      <c r="G83" s="7">
        <v>7.0202000000000001E-2</v>
      </c>
      <c r="H83" s="7">
        <f t="shared" si="17"/>
        <v>2.1016042002996085E-2</v>
      </c>
      <c r="I83" s="5">
        <v>0.35145199999999999</v>
      </c>
      <c r="J83" s="7">
        <f t="shared" si="18"/>
        <v>9.6932296784053816E-3</v>
      </c>
      <c r="K83" s="7">
        <v>5.6855000000000003E-2</v>
      </c>
      <c r="L83" s="7">
        <f t="shared" si="19"/>
        <v>3.5478518727715567E-3</v>
      </c>
    </row>
    <row r="84" spans="1:12" x14ac:dyDescent="0.25">
      <c r="A84" s="4">
        <f t="shared" si="15"/>
        <v>81</v>
      </c>
      <c r="B84" s="4" t="s">
        <v>22</v>
      </c>
      <c r="C84" s="4" t="s">
        <v>16</v>
      </c>
      <c r="D84" s="4" t="s">
        <v>13</v>
      </c>
      <c r="E84" s="5">
        <v>0.33186700000000002</v>
      </c>
      <c r="F84" s="7">
        <f t="shared" si="16"/>
        <v>7.5046676482643324E-3</v>
      </c>
      <c r="G84" s="7">
        <v>6.9531999999999997E-2</v>
      </c>
      <c r="H84" s="7">
        <f t="shared" si="17"/>
        <v>1.1271579620984015E-2</v>
      </c>
      <c r="I84" s="5">
        <v>0.35049799999999998</v>
      </c>
      <c r="J84" s="7">
        <f t="shared" si="18"/>
        <v>6.9524646774572875E-3</v>
      </c>
      <c r="K84" s="7">
        <v>5.7014000000000002E-2</v>
      </c>
      <c r="L84" s="7">
        <f t="shared" si="19"/>
        <v>6.3543615631729304E-3</v>
      </c>
    </row>
    <row r="85" spans="1:12" x14ac:dyDescent="0.25">
      <c r="A85" s="4">
        <f t="shared" si="15"/>
        <v>82</v>
      </c>
      <c r="B85" s="4" t="s">
        <v>22</v>
      </c>
      <c r="C85" s="4" t="s">
        <v>16</v>
      </c>
      <c r="D85" s="4" t="s">
        <v>14</v>
      </c>
      <c r="E85" s="5">
        <v>0.33349000000000001</v>
      </c>
      <c r="F85" s="7">
        <f t="shared" si="16"/>
        <v>1.2431882694030011E-2</v>
      </c>
      <c r="G85" s="7">
        <v>7.0152999999999993E-2</v>
      </c>
      <c r="H85" s="7">
        <f t="shared" si="17"/>
        <v>2.0303387291475697E-2</v>
      </c>
      <c r="I85" s="5">
        <v>0.35144500000000001</v>
      </c>
      <c r="J85" s="7">
        <f t="shared" si="18"/>
        <v>9.6731192433880016E-3</v>
      </c>
      <c r="K85" s="7">
        <v>5.6682999999999997E-2</v>
      </c>
      <c r="L85" s="7">
        <f t="shared" si="19"/>
        <v>5.1187912592216443E-4</v>
      </c>
    </row>
    <row r="86" spans="1:12" x14ac:dyDescent="0.25">
      <c r="A86" s="4">
        <f t="shared" si="15"/>
        <v>83</v>
      </c>
      <c r="B86" s="4" t="s">
        <v>22</v>
      </c>
      <c r="C86" s="4" t="s">
        <v>17</v>
      </c>
      <c r="D86" s="4" t="s">
        <v>13</v>
      </c>
      <c r="E86" s="5">
        <v>0.331397</v>
      </c>
      <c r="F86" s="7">
        <f t="shared" si="16"/>
        <v>6.0778093170813273E-3</v>
      </c>
      <c r="G86" s="7">
        <v>6.9286E-2</v>
      </c>
      <c r="H86" s="7">
        <f t="shared" si="17"/>
        <v>7.6937620896781666E-3</v>
      </c>
      <c r="I86" s="5">
        <v>0.34974699999999997</v>
      </c>
      <c r="J86" s="7">
        <f t="shared" si="18"/>
        <v>4.7949022920149393E-3</v>
      </c>
      <c r="K86" s="7">
        <v>5.6876000000000003E-2</v>
      </c>
      <c r="L86" s="7">
        <f t="shared" si="19"/>
        <v>3.9185229639566487E-3</v>
      </c>
    </row>
    <row r="87" spans="1:12" x14ac:dyDescent="0.25">
      <c r="A87" s="4">
        <f t="shared" si="15"/>
        <v>84</v>
      </c>
      <c r="B87" s="4" t="s">
        <v>22</v>
      </c>
      <c r="C87" s="4" t="s">
        <v>17</v>
      </c>
      <c r="D87" s="4" t="s">
        <v>14</v>
      </c>
      <c r="E87" s="5">
        <v>0.33358300000000002</v>
      </c>
      <c r="F87" s="7">
        <f t="shared" si="16"/>
        <v>1.2714218491476874E-2</v>
      </c>
      <c r="G87" s="7">
        <v>7.0249000000000006E-2</v>
      </c>
      <c r="H87" s="7">
        <f t="shared" si="17"/>
        <v>2.1699608767107453E-2</v>
      </c>
      <c r="I87" s="5">
        <v>0.35131000000000001</v>
      </c>
      <c r="J87" s="7">
        <f t="shared" si="18"/>
        <v>9.2852751394802684E-3</v>
      </c>
      <c r="K87" s="7">
        <v>5.6835999999999998E-2</v>
      </c>
      <c r="L87" s="7">
        <f t="shared" si="19"/>
        <v>3.2124827902706723E-3</v>
      </c>
    </row>
    <row r="88" spans="1:12" x14ac:dyDescent="0.25">
      <c r="A88" s="4">
        <f t="shared" si="15"/>
        <v>85</v>
      </c>
      <c r="B88" s="4" t="s">
        <v>22</v>
      </c>
      <c r="C88" s="4" t="s">
        <v>18</v>
      </c>
      <c r="D88" s="4" t="s">
        <v>13</v>
      </c>
      <c r="E88" s="5">
        <v>0.33078299999999999</v>
      </c>
      <c r="F88" s="7">
        <f t="shared" si="16"/>
        <v>4.2137858801742601E-3</v>
      </c>
      <c r="G88" s="7">
        <v>6.9114999999999996E-2</v>
      </c>
      <c r="H88" s="7">
        <f t="shared" si="17"/>
        <v>5.2067425862093635E-3</v>
      </c>
      <c r="I88" s="5">
        <v>0.34937299999999999</v>
      </c>
      <c r="J88" s="7">
        <f t="shared" si="18"/>
        <v>3.7204304782261178E-3</v>
      </c>
      <c r="K88" s="7">
        <v>5.6675000000000003E-2</v>
      </c>
      <c r="L88" s="7">
        <f t="shared" si="19"/>
        <v>3.7067109118509169E-4</v>
      </c>
    </row>
    <row r="89" spans="1:12" x14ac:dyDescent="0.25">
      <c r="A89" s="4">
        <f t="shared" si="15"/>
        <v>86</v>
      </c>
      <c r="B89" s="4" t="s">
        <v>22</v>
      </c>
      <c r="C89" s="4" t="s">
        <v>18</v>
      </c>
      <c r="D89" s="4" t="s">
        <v>14</v>
      </c>
      <c r="E89" s="5">
        <v>0.333592</v>
      </c>
      <c r="F89" s="7">
        <f t="shared" si="16"/>
        <v>1.2741541310584576E-2</v>
      </c>
      <c r="G89" s="7">
        <v>7.0435999999999999E-2</v>
      </c>
      <c r="H89" s="7">
        <f t="shared" si="17"/>
        <v>2.4419331849848014E-2</v>
      </c>
      <c r="I89" s="5">
        <v>0.35144799999999998</v>
      </c>
      <c r="J89" s="7">
        <f t="shared" si="18"/>
        <v>9.6817380012525472E-3</v>
      </c>
      <c r="K89" s="7">
        <v>5.6981999999999998E-2</v>
      </c>
      <c r="L89" s="7">
        <f t="shared" si="19"/>
        <v>5.7895294242241487E-3</v>
      </c>
    </row>
    <row r="90" spans="1:12" x14ac:dyDescent="0.25">
      <c r="A90" s="4">
        <f t="shared" si="15"/>
        <v>87</v>
      </c>
      <c r="B90" s="4" t="s">
        <v>22</v>
      </c>
      <c r="C90" s="4" t="s">
        <v>19</v>
      </c>
      <c r="D90" s="4" t="s">
        <v>13</v>
      </c>
      <c r="E90" s="5">
        <v>0.33052999999999999</v>
      </c>
      <c r="F90" s="7">
        <f t="shared" si="16"/>
        <v>3.4457110763672708E-3</v>
      </c>
      <c r="G90" s="7">
        <v>6.8981000000000001E-2</v>
      </c>
      <c r="H90" s="7">
        <f t="shared" si="17"/>
        <v>3.2578501098070303E-3</v>
      </c>
      <c r="I90" s="5">
        <v>0.34896300000000002</v>
      </c>
      <c r="J90" s="7">
        <f t="shared" si="18"/>
        <v>2.5425335700619534E-3</v>
      </c>
      <c r="K90" s="7">
        <v>5.6535000000000002E-2</v>
      </c>
      <c r="L90" s="7">
        <f t="shared" si="19"/>
        <v>-2.1004695167155195E-3</v>
      </c>
    </row>
    <row r="91" spans="1:12" x14ac:dyDescent="0.25">
      <c r="A91" s="4">
        <f t="shared" si="15"/>
        <v>88</v>
      </c>
      <c r="B91" s="4" t="s">
        <v>22</v>
      </c>
      <c r="C91" s="4" t="s">
        <v>19</v>
      </c>
      <c r="D91" s="4" t="s">
        <v>14</v>
      </c>
      <c r="E91" s="5">
        <v>0.33335100000000001</v>
      </c>
      <c r="F91" s="7">
        <f t="shared" si="16"/>
        <v>1.2009896932254634E-2</v>
      </c>
      <c r="G91" s="7">
        <v>7.0388999999999993E-2</v>
      </c>
      <c r="H91" s="7">
        <f t="shared" si="17"/>
        <v>2.3735765085736646E-2</v>
      </c>
      <c r="I91" s="5">
        <v>0.35108800000000001</v>
      </c>
      <c r="J91" s="7">
        <f t="shared" si="18"/>
        <v>8.6474870574986436E-3</v>
      </c>
      <c r="K91" s="7">
        <v>5.6721000000000001E-2</v>
      </c>
      <c r="L91" s="7">
        <f t="shared" si="19"/>
        <v>1.1826172909238115E-3</v>
      </c>
    </row>
    <row r="92" spans="1:12" x14ac:dyDescent="0.25">
      <c r="A92" s="4">
        <f t="shared" si="15"/>
        <v>89</v>
      </c>
      <c r="B92" s="4" t="s">
        <v>22</v>
      </c>
      <c r="C92" s="4" t="s">
        <v>20</v>
      </c>
      <c r="D92" s="4" t="s">
        <v>13</v>
      </c>
      <c r="E92" s="5">
        <v>0.32994000000000001</v>
      </c>
      <c r="F92" s="7">
        <f t="shared" si="16"/>
        <v>1.654548490414298E-3</v>
      </c>
      <c r="G92" s="7">
        <v>6.8805000000000005E-2</v>
      </c>
      <c r="H92" s="7">
        <f t="shared" si="17"/>
        <v>6.9811073781587865E-4</v>
      </c>
      <c r="I92" s="5">
        <v>0.34843600000000002</v>
      </c>
      <c r="J92" s="7">
        <f t="shared" si="18"/>
        <v>1.0285051051776468E-3</v>
      </c>
      <c r="K92" s="7">
        <v>5.6369000000000002E-2</v>
      </c>
      <c r="L92" s="7">
        <f t="shared" si="19"/>
        <v>-5.0305362375119237E-3</v>
      </c>
    </row>
    <row r="93" spans="1:12" x14ac:dyDescent="0.25">
      <c r="A93" s="4">
        <f t="shared" si="15"/>
        <v>90</v>
      </c>
      <c r="B93" s="4" t="s">
        <v>22</v>
      </c>
      <c r="C93" s="4" t="s">
        <v>20</v>
      </c>
      <c r="D93" s="4" t="s">
        <v>14</v>
      </c>
      <c r="E93" s="5">
        <v>0.33321400000000001</v>
      </c>
      <c r="F93" s="7">
        <f t="shared" si="16"/>
        <v>1.1593982908058765E-2</v>
      </c>
      <c r="G93" s="7">
        <v>7.0690000000000003E-2</v>
      </c>
      <c r="H93" s="7">
        <f t="shared" si="17"/>
        <v>2.8113501170789944E-2</v>
      </c>
      <c r="I93" s="5">
        <v>0.35087299999999999</v>
      </c>
      <c r="J93" s="7">
        <f t="shared" si="18"/>
        <v>8.029809410534397E-3</v>
      </c>
      <c r="K93" s="7">
        <v>5.7026E-2</v>
      </c>
      <c r="L93" s="7">
        <f t="shared" si="19"/>
        <v>6.566173615278662E-3</v>
      </c>
    </row>
    <row r="94" spans="1:12" x14ac:dyDescent="0.25">
      <c r="A94" s="4">
        <f t="shared" si="15"/>
        <v>91</v>
      </c>
      <c r="B94" s="4" t="s">
        <v>22</v>
      </c>
      <c r="C94" s="4" t="s">
        <v>21</v>
      </c>
      <c r="D94" s="4" t="s">
        <v>13</v>
      </c>
      <c r="E94" s="5">
        <v>0.32993800000000001</v>
      </c>
      <c r="F94" s="7">
        <f t="shared" si="16"/>
        <v>1.6484767528347902E-3</v>
      </c>
      <c r="G94" s="7">
        <v>6.8860000000000005E-2</v>
      </c>
      <c r="H94" s="7">
        <f t="shared" si="17"/>
        <v>1.4980292915631262E-3</v>
      </c>
      <c r="I94" s="5">
        <v>0.34862599999999999</v>
      </c>
      <c r="J94" s="7">
        <f t="shared" si="18"/>
        <v>1.5743597699366032E-3</v>
      </c>
      <c r="K94" s="7">
        <v>5.6619000000000003E-2</v>
      </c>
      <c r="L94" s="7">
        <f t="shared" si="19"/>
        <v>-6.1778515197515277E-4</v>
      </c>
    </row>
    <row r="95" spans="1:12" x14ac:dyDescent="0.25">
      <c r="A95" s="4">
        <f t="shared" si="15"/>
        <v>92</v>
      </c>
      <c r="B95" s="4" t="s">
        <v>22</v>
      </c>
      <c r="C95" s="4" t="s">
        <v>21</v>
      </c>
      <c r="D95" s="4" t="s">
        <v>14</v>
      </c>
      <c r="E95" s="5">
        <v>0.33343299999999998</v>
      </c>
      <c r="F95" s="7">
        <f t="shared" si="16"/>
        <v>1.225883817301412E-2</v>
      </c>
      <c r="G95" s="7">
        <v>7.0971999999999993E-2</v>
      </c>
      <c r="H95" s="7">
        <f t="shared" si="17"/>
        <v>3.2214901755457548E-2</v>
      </c>
      <c r="I95" s="5">
        <v>0.35107300000000002</v>
      </c>
      <c r="J95" s="7">
        <f t="shared" si="18"/>
        <v>8.6043932681755964E-3</v>
      </c>
      <c r="K95" s="7">
        <v>5.7242000000000001E-2</v>
      </c>
      <c r="L95" s="7">
        <f t="shared" si="19"/>
        <v>1.0378790553182445E-2</v>
      </c>
    </row>
    <row r="96" spans="1:12" x14ac:dyDescent="0.25">
      <c r="A96" s="4">
        <f t="shared" si="15"/>
        <v>93</v>
      </c>
      <c r="B96" s="4" t="s">
        <v>28</v>
      </c>
      <c r="C96" s="4" t="s">
        <v>29</v>
      </c>
      <c r="D96" s="4" t="s">
        <v>30</v>
      </c>
      <c r="E96" s="5">
        <v>0.32960499999999998</v>
      </c>
      <c r="F96" s="7">
        <f t="shared" si="16"/>
        <v>6.3753244584765394E-4</v>
      </c>
      <c r="G96" s="7">
        <v>6.8189E-2</v>
      </c>
      <c r="H96" s="7">
        <f t="shared" si="17"/>
        <v>-8.2609770641534543E-3</v>
      </c>
      <c r="I96" s="5">
        <v>0.34789999999999999</v>
      </c>
      <c r="J96" s="7">
        <f t="shared" si="18"/>
        <v>-5.1137963330061503E-4</v>
      </c>
      <c r="K96" s="7">
        <v>5.5474000000000002E-2</v>
      </c>
      <c r="L96" s="7">
        <f t="shared" si="19"/>
        <v>-2.0828185123733547E-2</v>
      </c>
    </row>
    <row r="97" spans="1:12" x14ac:dyDescent="0.25">
      <c r="A97" s="4">
        <f t="shared" si="15"/>
        <v>94</v>
      </c>
      <c r="B97" s="4" t="s">
        <v>28</v>
      </c>
      <c r="C97" s="4" t="s">
        <v>31</v>
      </c>
      <c r="D97" s="4" t="s">
        <v>30</v>
      </c>
      <c r="E97" s="5">
        <v>0.33004299999999998</v>
      </c>
      <c r="F97" s="7">
        <f t="shared" si="16"/>
        <v>1.9672429757585327E-3</v>
      </c>
      <c r="G97" s="7">
        <v>6.7837999999999996E-2</v>
      </c>
      <c r="H97" s="7">
        <f t="shared" si="17"/>
        <v>-1.3365911834431449E-2</v>
      </c>
      <c r="I97" s="5">
        <v>0.34820800000000002</v>
      </c>
      <c r="J97" s="7">
        <f t="shared" si="18"/>
        <v>3.734795074667718E-4</v>
      </c>
      <c r="K97" s="7">
        <v>5.5098000000000001E-2</v>
      </c>
      <c r="L97" s="7">
        <f t="shared" si="19"/>
        <v>-2.746496275638087E-2</v>
      </c>
    </row>
    <row r="98" spans="1:12" x14ac:dyDescent="0.25">
      <c r="A98" s="4">
        <f t="shared" si="15"/>
        <v>95</v>
      </c>
      <c r="B98" s="4" t="s">
        <v>28</v>
      </c>
      <c r="C98" s="4" t="s">
        <v>29</v>
      </c>
      <c r="D98" s="4" t="s">
        <v>32</v>
      </c>
      <c r="E98" s="5">
        <v>0.32979000000000003</v>
      </c>
      <c r="F98" s="7">
        <f t="shared" si="16"/>
        <v>1.1991681719517122E-3</v>
      </c>
      <c r="G98" s="7">
        <v>6.8183999999999995E-2</v>
      </c>
      <c r="H98" s="7">
        <f t="shared" si="17"/>
        <v>-8.3336969326760057E-3</v>
      </c>
      <c r="I98" s="5">
        <v>0.34848299999999999</v>
      </c>
      <c r="J98" s="7">
        <f t="shared" si="18"/>
        <v>1.163532311723202E-3</v>
      </c>
      <c r="K98" s="7">
        <v>5.5542000000000001E-2</v>
      </c>
      <c r="L98" s="7">
        <f t="shared" si="19"/>
        <v>-1.9627916828467571E-2</v>
      </c>
    </row>
    <row r="99" spans="1:12" x14ac:dyDescent="0.25">
      <c r="A99" s="4">
        <f t="shared" si="15"/>
        <v>96</v>
      </c>
      <c r="B99" s="4" t="s">
        <v>28</v>
      </c>
      <c r="C99" s="4" t="s">
        <v>31</v>
      </c>
      <c r="D99" s="4" t="s">
        <v>32</v>
      </c>
      <c r="E99" s="5">
        <v>0.33049800000000001</v>
      </c>
      <c r="F99" s="7">
        <f t="shared" si="16"/>
        <v>3.348563275095313E-3</v>
      </c>
      <c r="G99" s="7">
        <v>6.7962999999999996E-2</v>
      </c>
      <c r="H99" s="7">
        <f t="shared" si="17"/>
        <v>-1.1547915121369505E-2</v>
      </c>
      <c r="I99" s="5">
        <v>0.34910000000000002</v>
      </c>
      <c r="J99" s="7">
        <f t="shared" si="18"/>
        <v>2.9361235125461042E-3</v>
      </c>
      <c r="K99" s="7">
        <v>5.5259000000000003E-2</v>
      </c>
      <c r="L99" s="7">
        <f t="shared" si="19"/>
        <v>-2.4623151057295165E-2</v>
      </c>
    </row>
    <row r="100" spans="1:12" x14ac:dyDescent="0.25">
      <c r="A100" s="3" t="s">
        <v>33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x14ac:dyDescent="0.25">
      <c r="A101" s="3" t="s">
        <v>34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</sheetData>
  <mergeCells count="8">
    <mergeCell ref="A101:L101"/>
    <mergeCell ref="I1:L1"/>
    <mergeCell ref="A100:L100"/>
    <mergeCell ref="C1:C2"/>
    <mergeCell ref="B1:B2"/>
    <mergeCell ref="D1:D2"/>
    <mergeCell ref="E1:H1"/>
    <mergeCell ref="A1:A2"/>
  </mergeCells>
  <conditionalFormatting sqref="E3:E33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33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33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:K33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E49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49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49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:K49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E104857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G104857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I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:K104857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E9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9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9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:K9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Andrew</cp:lastModifiedBy>
  <dcterms:created xsi:type="dcterms:W3CDTF">2026-06-20T11:37:29Z</dcterms:created>
  <dcterms:modified xsi:type="dcterms:W3CDTF">2026-06-21T14:08:32Z</dcterms:modified>
</cp:coreProperties>
</file>