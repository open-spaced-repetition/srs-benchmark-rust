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w\srs-benchmark-rust\"/>
    </mc:Choice>
  </mc:AlternateContent>
  <xr:revisionPtr revIDLastSave="0" documentId="13_ncr:1_{06779613-BEDB-4631-899B-67B46D4AC01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9" i="1" l="1"/>
  <c r="J49" i="1"/>
  <c r="H49" i="1"/>
  <c r="F49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L48" i="1"/>
  <c r="J48" i="1"/>
  <c r="H48" i="1"/>
  <c r="F48" i="1"/>
  <c r="L47" i="1"/>
  <c r="J47" i="1"/>
  <c r="H47" i="1"/>
  <c r="F47" i="1"/>
  <c r="L46" i="1"/>
  <c r="J46" i="1"/>
  <c r="H46" i="1"/>
  <c r="F46" i="1"/>
  <c r="L45" i="1"/>
  <c r="J45" i="1"/>
  <c r="H45" i="1"/>
  <c r="F45" i="1"/>
  <c r="L44" i="1"/>
  <c r="J44" i="1"/>
  <c r="H44" i="1"/>
  <c r="F44" i="1"/>
  <c r="L43" i="1"/>
  <c r="J43" i="1"/>
  <c r="H43" i="1"/>
  <c r="F43" i="1"/>
  <c r="L42" i="1"/>
  <c r="J42" i="1"/>
  <c r="H42" i="1"/>
  <c r="F42" i="1"/>
  <c r="L41" i="1"/>
  <c r="J41" i="1"/>
  <c r="H41" i="1"/>
  <c r="F41" i="1"/>
  <c r="L40" i="1"/>
  <c r="J40" i="1"/>
  <c r="H40" i="1"/>
  <c r="F40" i="1"/>
  <c r="L39" i="1"/>
  <c r="J39" i="1"/>
  <c r="H39" i="1"/>
  <c r="F39" i="1"/>
  <c r="L38" i="1"/>
  <c r="J38" i="1"/>
  <c r="H38" i="1"/>
  <c r="F38" i="1"/>
  <c r="L37" i="1"/>
  <c r="J37" i="1"/>
  <c r="H37" i="1"/>
  <c r="F37" i="1"/>
  <c r="L36" i="1"/>
  <c r="J36" i="1"/>
  <c r="H36" i="1"/>
  <c r="F36" i="1"/>
  <c r="L35" i="1"/>
  <c r="J35" i="1"/>
  <c r="H35" i="1"/>
  <c r="F35" i="1"/>
  <c r="L34" i="1"/>
  <c r="J34" i="1"/>
  <c r="H34" i="1"/>
  <c r="F34" i="1"/>
  <c r="L33" i="1"/>
  <c r="J33" i="1"/>
  <c r="H33" i="1"/>
  <c r="F33" i="1"/>
  <c r="D33" i="1"/>
  <c r="C33" i="1"/>
  <c r="L32" i="1"/>
  <c r="J32" i="1"/>
  <c r="H32" i="1"/>
  <c r="F32" i="1"/>
  <c r="D32" i="1"/>
  <c r="C32" i="1"/>
  <c r="L31" i="1"/>
  <c r="J31" i="1"/>
  <c r="H31" i="1"/>
  <c r="F31" i="1"/>
  <c r="D31" i="1"/>
  <c r="C31" i="1"/>
  <c r="L30" i="1"/>
  <c r="J30" i="1"/>
  <c r="H30" i="1"/>
  <c r="F30" i="1"/>
  <c r="D30" i="1"/>
  <c r="C30" i="1"/>
  <c r="L29" i="1"/>
  <c r="J29" i="1"/>
  <c r="H29" i="1"/>
  <c r="F29" i="1"/>
  <c r="D29" i="1"/>
  <c r="C29" i="1"/>
  <c r="L28" i="1"/>
  <c r="J28" i="1"/>
  <c r="H28" i="1"/>
  <c r="F28" i="1"/>
  <c r="D28" i="1"/>
  <c r="C28" i="1"/>
  <c r="L27" i="1"/>
  <c r="J27" i="1"/>
  <c r="H27" i="1"/>
  <c r="F27" i="1"/>
  <c r="D27" i="1"/>
  <c r="C27" i="1"/>
  <c r="L26" i="1"/>
  <c r="J26" i="1"/>
  <c r="H26" i="1"/>
  <c r="F26" i="1"/>
  <c r="D26" i="1"/>
  <c r="C26" i="1"/>
  <c r="L25" i="1"/>
  <c r="J25" i="1"/>
  <c r="H25" i="1"/>
  <c r="F25" i="1"/>
  <c r="D25" i="1"/>
  <c r="C25" i="1"/>
  <c r="L24" i="1"/>
  <c r="J24" i="1"/>
  <c r="H24" i="1"/>
  <c r="F24" i="1"/>
  <c r="D24" i="1"/>
  <c r="C24" i="1"/>
  <c r="L23" i="1"/>
  <c r="J23" i="1"/>
  <c r="H23" i="1"/>
  <c r="F23" i="1"/>
  <c r="D23" i="1"/>
  <c r="C23" i="1"/>
  <c r="L22" i="1"/>
  <c r="J22" i="1"/>
  <c r="H22" i="1"/>
  <c r="F22" i="1"/>
  <c r="D22" i="1"/>
  <c r="C22" i="1"/>
  <c r="L21" i="1"/>
  <c r="J21" i="1"/>
  <c r="H21" i="1"/>
  <c r="F21" i="1"/>
  <c r="D21" i="1"/>
  <c r="C21" i="1"/>
  <c r="L20" i="1"/>
  <c r="J20" i="1"/>
  <c r="H20" i="1"/>
  <c r="F20" i="1"/>
  <c r="D20" i="1"/>
  <c r="C20" i="1"/>
  <c r="L19" i="1"/>
  <c r="J19" i="1"/>
  <c r="H19" i="1"/>
  <c r="F19" i="1"/>
  <c r="D19" i="1"/>
  <c r="C19" i="1"/>
  <c r="L18" i="1"/>
  <c r="J18" i="1"/>
  <c r="H18" i="1"/>
  <c r="F18" i="1"/>
  <c r="D18" i="1"/>
  <c r="C18" i="1"/>
  <c r="L17" i="1"/>
  <c r="J17" i="1"/>
  <c r="H17" i="1"/>
  <c r="F17" i="1"/>
  <c r="D17" i="1"/>
  <c r="C17" i="1"/>
  <c r="L16" i="1"/>
  <c r="J16" i="1"/>
  <c r="H16" i="1"/>
  <c r="F16" i="1"/>
  <c r="D16" i="1"/>
  <c r="C16" i="1"/>
  <c r="L15" i="1"/>
  <c r="J15" i="1"/>
  <c r="H15" i="1"/>
  <c r="F15" i="1"/>
  <c r="D15" i="1"/>
  <c r="C15" i="1"/>
  <c r="L14" i="1"/>
  <c r="J14" i="1"/>
  <c r="H14" i="1"/>
  <c r="F14" i="1"/>
  <c r="D14" i="1"/>
  <c r="C14" i="1"/>
  <c r="L13" i="1"/>
  <c r="J13" i="1"/>
  <c r="H13" i="1"/>
  <c r="F13" i="1"/>
  <c r="D13" i="1"/>
  <c r="C13" i="1"/>
  <c r="L12" i="1"/>
  <c r="J12" i="1"/>
  <c r="H12" i="1"/>
  <c r="F12" i="1"/>
  <c r="D12" i="1"/>
  <c r="C12" i="1"/>
  <c r="L11" i="1"/>
  <c r="J11" i="1"/>
  <c r="H11" i="1"/>
  <c r="F11" i="1"/>
  <c r="D11" i="1"/>
  <c r="C11" i="1"/>
  <c r="L10" i="1"/>
  <c r="J10" i="1"/>
  <c r="H10" i="1"/>
  <c r="F10" i="1"/>
  <c r="D10" i="1"/>
  <c r="C10" i="1"/>
  <c r="L9" i="1"/>
  <c r="J9" i="1"/>
  <c r="H9" i="1"/>
  <c r="F9" i="1"/>
  <c r="D9" i="1"/>
  <c r="C9" i="1"/>
  <c r="L8" i="1"/>
  <c r="J8" i="1"/>
  <c r="H8" i="1"/>
  <c r="F8" i="1"/>
  <c r="D8" i="1"/>
  <c r="C8" i="1"/>
  <c r="L7" i="1"/>
  <c r="J7" i="1"/>
  <c r="H7" i="1"/>
  <c r="F7" i="1"/>
  <c r="D7" i="1"/>
  <c r="C7" i="1"/>
  <c r="L6" i="1"/>
  <c r="J6" i="1"/>
  <c r="H6" i="1"/>
  <c r="F6" i="1"/>
  <c r="D6" i="1"/>
  <c r="C6" i="1"/>
  <c r="L5" i="1"/>
  <c r="J5" i="1"/>
  <c r="H5" i="1"/>
  <c r="F5" i="1"/>
  <c r="D5" i="1"/>
  <c r="C5" i="1"/>
  <c r="L4" i="1"/>
  <c r="J4" i="1"/>
  <c r="H4" i="1"/>
  <c r="F4" i="1"/>
  <c r="D4" i="1"/>
  <c r="C4" i="1"/>
  <c r="L3" i="1"/>
  <c r="J3" i="1"/>
  <c r="H3" i="1"/>
  <c r="F3" i="1"/>
  <c r="D3" i="1"/>
  <c r="C3" i="1"/>
</calcChain>
</file>

<file path=xl/sharedStrings.xml><?xml version="1.0" encoding="utf-8"?>
<sst xmlns="http://schemas.openxmlformats.org/spreadsheetml/2006/main" count="95" uniqueCount="24">
  <si>
    <t>Experiment
number</t>
  </si>
  <si>
    <t>Version</t>
  </si>
  <si>
    <t>Threshold for
Mahalanobis</t>
  </si>
  <si>
    <t>Linkage
method</t>
  </si>
  <si>
    <t>weight=users</t>
  </si>
  <si>
    <t>weight=reviews</t>
  </si>
  <si>
    <t>log loss</t>
  </si>
  <si>
    <t>Δlog loss (rel.)</t>
  </si>
  <si>
    <t>RMSE (bins)</t>
  </si>
  <si>
    <t>ΔRMSE (rel.)</t>
  </si>
  <si>
    <t>FSRS-7-short-secs</t>
  </si>
  <si>
    <t>FSRS-7-short-secs-smart</t>
  </si>
  <si>
    <t>mcs=2, ms=1</t>
  </si>
  <si>
    <t>HDBSCAN (eom)</t>
  </si>
  <si>
    <t>HDBSCAN (leaf)</t>
  </si>
  <si>
    <t>mcs=2, ms=5</t>
  </si>
  <si>
    <t>mcs=5, ms=1</t>
  </si>
  <si>
    <t>mcs=5, ms=5</t>
  </si>
  <si>
    <t>mcs=10, ms=1</t>
  </si>
  <si>
    <t>mcs=10, ms=5</t>
  </si>
  <si>
    <t>mcs=20, ms=1</t>
  </si>
  <si>
    <t>mcs=20, ms=5</t>
  </si>
  <si>
    <t>1000 users</t>
  </si>
  <si>
    <t>50 298 310 reviews (same-day reviews included)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</si>
</sst>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tabSelected="1" topLeftCell="A30" workbookViewId="0">
      <selection activeCell="C54" sqref="C54"/>
    </sheetView>
  </sheetViews>
  <sheetFormatPr defaultRowHeight="15" x14ac:dyDescent="0.25"/>
  <cols>
    <col min="1" max="1" width="11.28515625" bestFit="1" customWidth="1"/>
    <col min="2" max="2" width="22.7109375" bestFit="1" customWidth="1"/>
    <col min="3" max="3" width="12.85546875" bestFit="1" customWidth="1"/>
    <col min="4" max="4" width="15.5703125" bestFit="1" customWidth="1"/>
    <col min="5" max="5" width="7.5703125" bestFit="1" customWidth="1"/>
    <col min="6" max="6" width="13.7109375" bestFit="1" customWidth="1"/>
    <col min="7" max="7" width="11.42578125" bestFit="1" customWidth="1"/>
    <col min="8" max="8" width="11.85546875" bestFit="1" customWidth="1"/>
    <col min="9" max="9" width="7.5703125" bestFit="1" customWidth="1"/>
    <col min="10" max="10" width="13.7109375" bestFit="1" customWidth="1"/>
    <col min="11" max="11" width="11.42578125" bestFit="1" customWidth="1"/>
    <col min="12" max="12" width="11.85546875" bestFit="1" customWidth="1"/>
  </cols>
  <sheetData>
    <row r="1" spans="1:12" x14ac:dyDescent="0.25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3"/>
      <c r="G1" s="3"/>
      <c r="H1" s="3"/>
      <c r="I1" s="2" t="s">
        <v>5</v>
      </c>
      <c r="J1" s="3"/>
      <c r="K1" s="3"/>
      <c r="L1" s="3"/>
    </row>
    <row r="2" spans="1:12" x14ac:dyDescent="0.25">
      <c r="A2" s="3"/>
      <c r="B2" s="3"/>
      <c r="C2" s="3"/>
      <c r="D2" s="3"/>
      <c r="E2" s="4" t="s">
        <v>6</v>
      </c>
      <c r="F2" s="4" t="s">
        <v>7</v>
      </c>
      <c r="G2" s="4" t="s">
        <v>8</v>
      </c>
      <c r="H2" s="4" t="s">
        <v>9</v>
      </c>
      <c r="I2" s="4" t="s">
        <v>6</v>
      </c>
      <c r="J2" s="4" t="s">
        <v>7</v>
      </c>
      <c r="K2" s="4" t="s">
        <v>8</v>
      </c>
      <c r="L2" s="4" t="s">
        <v>9</v>
      </c>
    </row>
    <row r="3" spans="1:12" ht="15.75" customHeight="1" thickBot="1" x14ac:dyDescent="0.3">
      <c r="A3" s="4">
        <f>0</f>
        <v>0</v>
      </c>
      <c r="B3" s="4" t="s">
        <v>10</v>
      </c>
      <c r="C3" s="4" t="str">
        <f>"-"</f>
        <v>-</v>
      </c>
      <c r="D3" s="4" t="str">
        <f>"-"</f>
        <v>-</v>
      </c>
      <c r="E3" s="6">
        <v>0.32939499999999999</v>
      </c>
      <c r="F3" s="5" t="str">
        <f>"-"</f>
        <v>-</v>
      </c>
      <c r="G3" s="5">
        <v>6.8756999999999999E-2</v>
      </c>
      <c r="H3" s="5" t="str">
        <f>"-"</f>
        <v>-</v>
      </c>
      <c r="I3" s="6">
        <v>0.348078</v>
      </c>
      <c r="J3" s="5" t="str">
        <f>"-"</f>
        <v>-</v>
      </c>
      <c r="K3" s="5">
        <v>5.6654000000000003E-2</v>
      </c>
      <c r="L3" s="5" t="str">
        <f>"-"</f>
        <v>-</v>
      </c>
    </row>
    <row r="4" spans="1:12" x14ac:dyDescent="0.25">
      <c r="A4" s="4">
        <f t="shared" ref="A4:A49" si="0">A3+1</f>
        <v>1</v>
      </c>
      <c r="B4" s="4" t="s">
        <v>11</v>
      </c>
      <c r="C4" s="4">
        <f>1.5</f>
        <v>1.5</v>
      </c>
      <c r="D4" s="4" t="str">
        <f t="shared" ref="D4:D9" si="1">"single"</f>
        <v>single</v>
      </c>
      <c r="E4" s="6">
        <v>0.33519500000000002</v>
      </c>
      <c r="F4" s="5">
        <f t="shared" ref="F4:F49" si="2">IF(ISNUMBER(E4),(E4-E$3)/E$3,"")</f>
        <v>1.7608038980555345E-2</v>
      </c>
      <c r="G4" s="5">
        <v>7.2276999999999994E-2</v>
      </c>
      <c r="H4" s="5">
        <f t="shared" ref="H4:H49" si="3">IF(ISNUMBER(G4),(G4-G$3)/G$3,"")</f>
        <v>5.1194787439824245E-2</v>
      </c>
      <c r="I4" s="6">
        <v>0.35338399999999998</v>
      </c>
      <c r="J4" s="5">
        <f t="shared" ref="J4:J49" si="4">IF(ISNUMBER(I4),(I4-I$3)/I$3,"")</f>
        <v>1.524370974321841E-2</v>
      </c>
      <c r="K4" s="5">
        <v>5.9365000000000001E-2</v>
      </c>
      <c r="L4" s="5">
        <f t="shared" ref="L4:L49" si="5">IF(ISNUMBER(K4),(K4-K$3)/K$3,"")</f>
        <v>4.7851872771560666E-2</v>
      </c>
    </row>
    <row r="5" spans="1:12" x14ac:dyDescent="0.25">
      <c r="A5" s="4">
        <f t="shared" si="0"/>
        <v>2</v>
      </c>
      <c r="B5" s="4" t="s">
        <v>11</v>
      </c>
      <c r="C5" s="4">
        <f>2</f>
        <v>2</v>
      </c>
      <c r="D5" s="4" t="str">
        <f t="shared" si="1"/>
        <v>single</v>
      </c>
      <c r="E5" s="6">
        <v>0.33488400000000001</v>
      </c>
      <c r="F5" s="5">
        <f t="shared" si="2"/>
        <v>1.6663883786942793E-2</v>
      </c>
      <c r="G5" s="5">
        <v>7.1951000000000001E-2</v>
      </c>
      <c r="H5" s="5">
        <f t="shared" si="3"/>
        <v>4.6453452012158801E-2</v>
      </c>
      <c r="I5" s="6">
        <v>0.35311399999999998</v>
      </c>
      <c r="J5" s="5">
        <f t="shared" si="4"/>
        <v>1.4468021535402942E-2</v>
      </c>
      <c r="K5" s="5">
        <v>5.9089000000000003E-2</v>
      </c>
      <c r="L5" s="5">
        <f t="shared" si="5"/>
        <v>4.2980195573128099E-2</v>
      </c>
    </row>
    <row r="6" spans="1:12" x14ac:dyDescent="0.25">
      <c r="A6" s="4">
        <f t="shared" si="0"/>
        <v>3</v>
      </c>
      <c r="B6" s="4" t="s">
        <v>11</v>
      </c>
      <c r="C6" s="4">
        <f>3</f>
        <v>3</v>
      </c>
      <c r="D6" s="4" t="str">
        <f t="shared" si="1"/>
        <v>single</v>
      </c>
      <c r="E6" s="6">
        <v>0.33346100000000001</v>
      </c>
      <c r="F6" s="5">
        <f t="shared" si="2"/>
        <v>1.234384249912723E-2</v>
      </c>
      <c r="G6" s="5">
        <v>7.0954000000000003E-2</v>
      </c>
      <c r="H6" s="5">
        <f t="shared" si="3"/>
        <v>3.1953110228776775E-2</v>
      </c>
      <c r="I6" s="6">
        <v>0.35185300000000003</v>
      </c>
      <c r="J6" s="5">
        <f t="shared" si="4"/>
        <v>1.0845270312975908E-2</v>
      </c>
      <c r="K6" s="5">
        <v>5.8259999999999999E-2</v>
      </c>
      <c r="L6" s="5">
        <f t="shared" si="5"/>
        <v>2.8347512973488125E-2</v>
      </c>
    </row>
    <row r="7" spans="1:12" x14ac:dyDescent="0.25">
      <c r="A7" s="4">
        <f t="shared" si="0"/>
        <v>4</v>
      </c>
      <c r="B7" s="4" t="s">
        <v>11</v>
      </c>
      <c r="C7" s="4">
        <f>5</f>
        <v>5</v>
      </c>
      <c r="D7" s="4" t="str">
        <f t="shared" si="1"/>
        <v>single</v>
      </c>
      <c r="E7" s="6">
        <v>0.33048300000000003</v>
      </c>
      <c r="F7" s="5">
        <f t="shared" si="2"/>
        <v>3.3030252432490882E-3</v>
      </c>
      <c r="G7" s="5">
        <v>6.8983000000000003E-2</v>
      </c>
      <c r="H7" s="5">
        <f t="shared" si="3"/>
        <v>3.2869380572160506E-3</v>
      </c>
      <c r="I7" s="6">
        <v>0.34951599999999999</v>
      </c>
      <c r="J7" s="5">
        <f t="shared" si="4"/>
        <v>4.131257936439519E-3</v>
      </c>
      <c r="K7" s="5">
        <v>5.6838E-2</v>
      </c>
      <c r="L7" s="5">
        <f t="shared" si="5"/>
        <v>3.2477847989550016E-3</v>
      </c>
    </row>
    <row r="8" spans="1:12" x14ac:dyDescent="0.25">
      <c r="A8" s="4">
        <f t="shared" si="0"/>
        <v>5</v>
      </c>
      <c r="B8" s="4" t="s">
        <v>11</v>
      </c>
      <c r="C8" s="4">
        <f>7.5</f>
        <v>7.5</v>
      </c>
      <c r="D8" s="4" t="str">
        <f t="shared" si="1"/>
        <v>single</v>
      </c>
      <c r="E8" s="6">
        <v>0.32973400000000003</v>
      </c>
      <c r="F8" s="5">
        <f t="shared" si="2"/>
        <v>1.0291595197256598E-3</v>
      </c>
      <c r="G8" s="5">
        <v>6.8513000000000004E-2</v>
      </c>
      <c r="H8" s="5">
        <f t="shared" si="3"/>
        <v>-3.5487295838968285E-3</v>
      </c>
      <c r="I8" s="6">
        <v>0.34910400000000003</v>
      </c>
      <c r="J8" s="5">
        <f t="shared" si="4"/>
        <v>2.9476151896989378E-3</v>
      </c>
      <c r="K8" s="5">
        <v>5.6714000000000001E-2</v>
      </c>
      <c r="L8" s="5">
        <f t="shared" si="5"/>
        <v>1.059060260528781E-3</v>
      </c>
    </row>
    <row r="9" spans="1:12" ht="15.75" customHeight="1" thickBot="1" x14ac:dyDescent="0.3">
      <c r="A9" s="4">
        <f t="shared" si="0"/>
        <v>6</v>
      </c>
      <c r="B9" s="4" t="s">
        <v>11</v>
      </c>
      <c r="C9" s="4">
        <f>12</f>
        <v>12</v>
      </c>
      <c r="D9" s="4" t="str">
        <f t="shared" si="1"/>
        <v>single</v>
      </c>
      <c r="E9" s="6">
        <v>0.32962900000000001</v>
      </c>
      <c r="F9" s="5">
        <f t="shared" si="2"/>
        <v>7.1039329680174857E-4</v>
      </c>
      <c r="G9" s="5">
        <v>6.8767999999999996E-2</v>
      </c>
      <c r="H9" s="5">
        <f t="shared" si="3"/>
        <v>1.5998371074940913E-4</v>
      </c>
      <c r="I9" s="6">
        <v>0.34853600000000001</v>
      </c>
      <c r="J9" s="5">
        <f t="shared" si="4"/>
        <v>1.315797033998167E-3</v>
      </c>
      <c r="K9" s="5">
        <v>5.6838E-2</v>
      </c>
      <c r="L9" s="5">
        <f t="shared" si="5"/>
        <v>3.2477847989550016E-3</v>
      </c>
    </row>
    <row r="10" spans="1:12" x14ac:dyDescent="0.25">
      <c r="A10" s="4">
        <f t="shared" si="0"/>
        <v>7</v>
      </c>
      <c r="B10" s="4" t="s">
        <v>11</v>
      </c>
      <c r="C10" s="4">
        <f>1.5</f>
        <v>1.5</v>
      </c>
      <c r="D10" s="4" t="str">
        <f t="shared" ref="D10:D15" si="6">"complete"</f>
        <v>complete</v>
      </c>
      <c r="E10" s="6">
        <v>0.33498899999999998</v>
      </c>
      <c r="F10" s="5">
        <f t="shared" si="2"/>
        <v>1.6982650009866537E-2</v>
      </c>
      <c r="G10" s="5">
        <v>7.2566000000000005E-2</v>
      </c>
      <c r="H10" s="5">
        <f t="shared" si="3"/>
        <v>5.5397995840423618E-2</v>
      </c>
      <c r="I10" s="6">
        <v>0.35314099999999998</v>
      </c>
      <c r="J10" s="5">
        <f t="shared" si="4"/>
        <v>1.4545590356184489E-2</v>
      </c>
      <c r="K10" s="5">
        <v>5.9561000000000003E-2</v>
      </c>
      <c r="L10" s="5">
        <f t="shared" si="5"/>
        <v>5.1311469622621522E-2</v>
      </c>
    </row>
    <row r="11" spans="1:12" x14ac:dyDescent="0.25">
      <c r="A11" s="4">
        <f t="shared" si="0"/>
        <v>8</v>
      </c>
      <c r="B11" s="4" t="s">
        <v>11</v>
      </c>
      <c r="C11" s="4">
        <f>2</f>
        <v>2</v>
      </c>
      <c r="D11" s="4" t="str">
        <f t="shared" si="6"/>
        <v>complete</v>
      </c>
      <c r="E11" s="6">
        <v>0.33506599999999997</v>
      </c>
      <c r="F11" s="5">
        <f t="shared" si="2"/>
        <v>1.7216411906677338E-2</v>
      </c>
      <c r="G11" s="5">
        <v>7.2447999999999999E-2</v>
      </c>
      <c r="H11" s="5">
        <f t="shared" si="3"/>
        <v>5.3681806943293046E-2</v>
      </c>
      <c r="I11" s="6">
        <v>0.35323100000000002</v>
      </c>
      <c r="J11" s="5">
        <f t="shared" si="4"/>
        <v>1.4804153092123084E-2</v>
      </c>
      <c r="K11" s="5">
        <v>5.9499000000000003E-2</v>
      </c>
      <c r="L11" s="5">
        <f t="shared" si="5"/>
        <v>5.0217107353408411E-2</v>
      </c>
    </row>
    <row r="12" spans="1:12" x14ac:dyDescent="0.25">
      <c r="A12" s="4">
        <f t="shared" si="0"/>
        <v>9</v>
      </c>
      <c r="B12" s="4" t="s">
        <v>11</v>
      </c>
      <c r="C12" s="4">
        <f>3</f>
        <v>3</v>
      </c>
      <c r="D12" s="4" t="str">
        <f t="shared" si="6"/>
        <v>complete</v>
      </c>
      <c r="E12" s="6">
        <v>0.335198</v>
      </c>
      <c r="F12" s="5">
        <f t="shared" si="2"/>
        <v>1.7617146586924523E-2</v>
      </c>
      <c r="G12" s="5">
        <v>7.2045999999999999E-2</v>
      </c>
      <c r="H12" s="5">
        <f t="shared" si="3"/>
        <v>4.783512951408584E-2</v>
      </c>
      <c r="I12" s="6">
        <v>0.35344500000000001</v>
      </c>
      <c r="J12" s="5">
        <f t="shared" si="4"/>
        <v>1.5418957819799042E-2</v>
      </c>
      <c r="K12" s="5">
        <v>5.9265999999999999E-2</v>
      </c>
      <c r="L12" s="5">
        <f t="shared" si="5"/>
        <v>4.6104423341688072E-2</v>
      </c>
    </row>
    <row r="13" spans="1:12" x14ac:dyDescent="0.25">
      <c r="A13" s="4">
        <f t="shared" si="0"/>
        <v>10</v>
      </c>
      <c r="B13" s="4" t="s">
        <v>11</v>
      </c>
      <c r="C13" s="4">
        <f>5</f>
        <v>5</v>
      </c>
      <c r="D13" s="4" t="str">
        <f t="shared" si="6"/>
        <v>complete</v>
      </c>
      <c r="E13" s="6">
        <v>0.33399800000000002</v>
      </c>
      <c r="F13" s="5">
        <f t="shared" si="2"/>
        <v>1.3974104039223497E-2</v>
      </c>
      <c r="G13" s="5">
        <v>7.0849999999999996E-2</v>
      </c>
      <c r="H13" s="5">
        <f t="shared" si="3"/>
        <v>3.0440536963509138E-2</v>
      </c>
      <c r="I13" s="6">
        <v>0.35263100000000003</v>
      </c>
      <c r="J13" s="5">
        <f t="shared" si="4"/>
        <v>1.3080401519199803E-2</v>
      </c>
      <c r="K13" s="5">
        <v>5.8424999999999998E-2</v>
      </c>
      <c r="L13" s="5">
        <f t="shared" si="5"/>
        <v>3.1259928689942366E-2</v>
      </c>
    </row>
    <row r="14" spans="1:12" x14ac:dyDescent="0.25">
      <c r="A14" s="4">
        <f t="shared" si="0"/>
        <v>11</v>
      </c>
      <c r="B14" s="4" t="s">
        <v>11</v>
      </c>
      <c r="C14" s="4">
        <f>7.5</f>
        <v>7.5</v>
      </c>
      <c r="D14" s="4" t="str">
        <f t="shared" si="6"/>
        <v>complete</v>
      </c>
      <c r="E14" s="6">
        <v>0.33191100000000001</v>
      </c>
      <c r="F14" s="5">
        <f t="shared" si="2"/>
        <v>7.6382458750133371E-3</v>
      </c>
      <c r="G14" s="5">
        <v>6.9540000000000005E-2</v>
      </c>
      <c r="H14" s="5">
        <f t="shared" si="3"/>
        <v>1.1387931410620096E-2</v>
      </c>
      <c r="I14" s="6">
        <v>0.35096699999999997</v>
      </c>
      <c r="J14" s="5">
        <f t="shared" si="4"/>
        <v>8.299863823625667E-3</v>
      </c>
      <c r="K14" s="5">
        <v>5.7456E-2</v>
      </c>
      <c r="L14" s="5">
        <f t="shared" si="5"/>
        <v>1.4156105482401898E-2</v>
      </c>
    </row>
    <row r="15" spans="1:12" ht="15.75" customHeight="1" thickBot="1" x14ac:dyDescent="0.3">
      <c r="A15" s="4">
        <f t="shared" si="0"/>
        <v>12</v>
      </c>
      <c r="B15" s="4" t="s">
        <v>11</v>
      </c>
      <c r="C15" s="4">
        <f>12</f>
        <v>12</v>
      </c>
      <c r="D15" s="4" t="str">
        <f t="shared" si="6"/>
        <v>complete</v>
      </c>
      <c r="E15" s="6">
        <v>0.3301</v>
      </c>
      <c r="F15" s="5">
        <f t="shared" si="2"/>
        <v>2.1402874967744235E-3</v>
      </c>
      <c r="G15" s="5">
        <v>6.8790000000000004E-2</v>
      </c>
      <c r="H15" s="5">
        <f t="shared" si="3"/>
        <v>4.7995113224842922E-4</v>
      </c>
      <c r="I15" s="6">
        <v>0.34929300000000002</v>
      </c>
      <c r="J15" s="5">
        <f t="shared" si="4"/>
        <v>3.4905969351697653E-3</v>
      </c>
      <c r="K15" s="5">
        <v>5.6598999999999997E-2</v>
      </c>
      <c r="L15" s="5">
        <f t="shared" si="5"/>
        <v>-9.7080523881820223E-4</v>
      </c>
    </row>
    <row r="16" spans="1:12" x14ac:dyDescent="0.25">
      <c r="A16" s="4">
        <f t="shared" si="0"/>
        <v>13</v>
      </c>
      <c r="B16" s="4" t="s">
        <v>11</v>
      </c>
      <c r="C16" s="4">
        <f>1.5</f>
        <v>1.5</v>
      </c>
      <c r="D16" s="4" t="str">
        <f t="shared" ref="D16:D21" si="7">"average"</f>
        <v>average</v>
      </c>
      <c r="E16" s="6">
        <v>0.335063</v>
      </c>
      <c r="F16" s="5">
        <f t="shared" si="2"/>
        <v>1.720730430030816E-2</v>
      </c>
      <c r="G16" s="5">
        <v>7.2500999999999996E-2</v>
      </c>
      <c r="H16" s="5">
        <f t="shared" si="3"/>
        <v>5.4452637549631269E-2</v>
      </c>
      <c r="I16" s="6">
        <v>0.35321200000000003</v>
      </c>
      <c r="J16" s="5">
        <f t="shared" si="4"/>
        <v>1.4749567625647204E-2</v>
      </c>
      <c r="K16" s="5">
        <v>5.9518000000000001E-2</v>
      </c>
      <c r="L16" s="5">
        <f t="shared" si="5"/>
        <v>5.0552476435909176E-2</v>
      </c>
    </row>
    <row r="17" spans="1:12" x14ac:dyDescent="0.25">
      <c r="A17" s="4">
        <f t="shared" si="0"/>
        <v>14</v>
      </c>
      <c r="B17" s="4" t="s">
        <v>11</v>
      </c>
      <c r="C17" s="4">
        <f>2</f>
        <v>2</v>
      </c>
      <c r="D17" s="4" t="str">
        <f t="shared" si="7"/>
        <v>average</v>
      </c>
      <c r="E17" s="6">
        <v>0.33519900000000002</v>
      </c>
      <c r="F17" s="5">
        <f t="shared" si="2"/>
        <v>1.762018245571436E-2</v>
      </c>
      <c r="G17" s="5">
        <v>7.2346999999999995E-2</v>
      </c>
      <c r="H17" s="5">
        <f t="shared" si="3"/>
        <v>5.2212865599138937E-2</v>
      </c>
      <c r="I17" s="6">
        <v>0.353379</v>
      </c>
      <c r="J17" s="5">
        <f t="shared" si="4"/>
        <v>1.5229345146777446E-2</v>
      </c>
      <c r="K17" s="5">
        <v>5.9459999999999999E-2</v>
      </c>
      <c r="L17" s="5">
        <f t="shared" si="5"/>
        <v>4.9528718184064603E-2</v>
      </c>
    </row>
    <row r="18" spans="1:12" x14ac:dyDescent="0.25">
      <c r="A18" s="4">
        <f t="shared" si="0"/>
        <v>15</v>
      </c>
      <c r="B18" s="4" t="s">
        <v>11</v>
      </c>
      <c r="C18" s="4">
        <f>3</f>
        <v>3</v>
      </c>
      <c r="D18" s="4" t="str">
        <f t="shared" si="7"/>
        <v>average</v>
      </c>
      <c r="E18" s="6">
        <v>0.335038</v>
      </c>
      <c r="F18" s="5">
        <f t="shared" si="2"/>
        <v>1.7131407580564396E-2</v>
      </c>
      <c r="G18" s="5">
        <v>7.1758000000000002E-2</v>
      </c>
      <c r="H18" s="5">
        <f t="shared" si="3"/>
        <v>4.3646465087191173E-2</v>
      </c>
      <c r="I18" s="6">
        <v>0.353348</v>
      </c>
      <c r="J18" s="5">
        <f t="shared" si="4"/>
        <v>1.5140284648843066E-2</v>
      </c>
      <c r="K18" s="5">
        <v>5.9088000000000002E-2</v>
      </c>
      <c r="L18" s="5">
        <f t="shared" si="5"/>
        <v>4.296254456878594E-2</v>
      </c>
    </row>
    <row r="19" spans="1:12" x14ac:dyDescent="0.25">
      <c r="A19" s="4">
        <f t="shared" si="0"/>
        <v>16</v>
      </c>
      <c r="B19" s="4" t="s">
        <v>11</v>
      </c>
      <c r="C19" s="4">
        <f>5</f>
        <v>5</v>
      </c>
      <c r="D19" s="4" t="str">
        <f t="shared" si="7"/>
        <v>average</v>
      </c>
      <c r="E19" s="6">
        <v>0.33240799999999998</v>
      </c>
      <c r="F19" s="5">
        <f t="shared" si="2"/>
        <v>9.1470726635194469E-3</v>
      </c>
      <c r="G19" s="5">
        <v>7.0014000000000007E-2</v>
      </c>
      <c r="H19" s="5">
        <f t="shared" si="3"/>
        <v>1.8281774946551015E-2</v>
      </c>
      <c r="I19" s="6">
        <v>0.35127999999999998</v>
      </c>
      <c r="J19" s="5">
        <f t="shared" si="4"/>
        <v>9.1990875608340163E-3</v>
      </c>
      <c r="K19" s="5">
        <v>5.7771999999999997E-2</v>
      </c>
      <c r="L19" s="5">
        <f t="shared" si="5"/>
        <v>1.9733822854520314E-2</v>
      </c>
    </row>
    <row r="20" spans="1:12" x14ac:dyDescent="0.25">
      <c r="A20" s="4">
        <f t="shared" si="0"/>
        <v>17</v>
      </c>
      <c r="B20" s="4" t="s">
        <v>11</v>
      </c>
      <c r="C20" s="4">
        <f>7.5</f>
        <v>7.5</v>
      </c>
      <c r="D20" s="4" t="str">
        <f t="shared" si="7"/>
        <v>average</v>
      </c>
      <c r="E20" s="6">
        <v>0.33015099999999997</v>
      </c>
      <c r="F20" s="5">
        <f t="shared" si="2"/>
        <v>2.2951168050516215E-3</v>
      </c>
      <c r="G20" s="5">
        <v>6.8742999999999999E-2</v>
      </c>
      <c r="H20" s="5">
        <f t="shared" si="3"/>
        <v>-2.0361563186293939E-4</v>
      </c>
      <c r="I20" s="6">
        <v>0.34943400000000002</v>
      </c>
      <c r="J20" s="5">
        <f t="shared" si="4"/>
        <v>3.8956785548067497E-3</v>
      </c>
      <c r="K20" s="5">
        <v>5.6834999999999997E-2</v>
      </c>
      <c r="L20" s="5">
        <f t="shared" si="5"/>
        <v>3.1948317859285076E-3</v>
      </c>
    </row>
    <row r="21" spans="1:12" ht="15.75" customHeight="1" thickBot="1" x14ac:dyDescent="0.3">
      <c r="A21" s="4">
        <f t="shared" si="0"/>
        <v>18</v>
      </c>
      <c r="B21" s="4" t="s">
        <v>11</v>
      </c>
      <c r="C21" s="4">
        <f>12</f>
        <v>12</v>
      </c>
      <c r="D21" s="4" t="str">
        <f t="shared" si="7"/>
        <v>average</v>
      </c>
      <c r="E21" s="6">
        <v>0.32971800000000001</v>
      </c>
      <c r="F21" s="5">
        <f t="shared" si="2"/>
        <v>9.8058561908959683E-4</v>
      </c>
      <c r="G21" s="5">
        <v>6.8766999999999995E-2</v>
      </c>
      <c r="H21" s="5">
        <f t="shared" si="3"/>
        <v>1.4543973704489905E-4</v>
      </c>
      <c r="I21" s="6">
        <v>0.34888200000000003</v>
      </c>
      <c r="J21" s="5">
        <f t="shared" si="4"/>
        <v>2.3098271077173133E-3</v>
      </c>
      <c r="K21" s="5">
        <v>5.6702000000000002E-2</v>
      </c>
      <c r="L21" s="5">
        <f t="shared" si="5"/>
        <v>8.4724820842304921E-4</v>
      </c>
    </row>
    <row r="22" spans="1:12" x14ac:dyDescent="0.25">
      <c r="A22" s="4">
        <f t="shared" si="0"/>
        <v>19</v>
      </c>
      <c r="B22" s="4" t="s">
        <v>11</v>
      </c>
      <c r="C22" s="4">
        <f>1.5</f>
        <v>1.5</v>
      </c>
      <c r="D22" s="4" t="str">
        <f t="shared" ref="D22:D27" si="8">"centroid"</f>
        <v>centroid</v>
      </c>
      <c r="E22" s="6">
        <v>0.33516299999999999</v>
      </c>
      <c r="F22" s="5">
        <f t="shared" si="2"/>
        <v>1.7510891179283217E-2</v>
      </c>
      <c r="G22" s="5">
        <v>7.2423000000000001E-2</v>
      </c>
      <c r="H22" s="5">
        <f t="shared" si="3"/>
        <v>5.3318207600680699E-2</v>
      </c>
      <c r="I22" s="6">
        <v>0.353323</v>
      </c>
      <c r="J22" s="5">
        <f t="shared" si="4"/>
        <v>1.5068461666637936E-2</v>
      </c>
      <c r="K22" s="5">
        <v>5.9503E-2</v>
      </c>
      <c r="L22" s="5">
        <f t="shared" si="5"/>
        <v>5.028771137077695E-2</v>
      </c>
    </row>
    <row r="23" spans="1:12" x14ac:dyDescent="0.25">
      <c r="A23" s="4">
        <f t="shared" si="0"/>
        <v>20</v>
      </c>
      <c r="B23" s="4" t="s">
        <v>11</v>
      </c>
      <c r="C23" s="4">
        <f>2</f>
        <v>2</v>
      </c>
      <c r="D23" s="4" t="str">
        <f t="shared" si="8"/>
        <v>centroid</v>
      </c>
      <c r="E23" s="6">
        <v>0.33517400000000003</v>
      </c>
      <c r="F23" s="5">
        <f t="shared" si="2"/>
        <v>1.7544285735970597E-2</v>
      </c>
      <c r="G23" s="5">
        <v>7.2163000000000005E-2</v>
      </c>
      <c r="H23" s="5">
        <f t="shared" si="3"/>
        <v>4.9536774437511907E-2</v>
      </c>
      <c r="I23" s="6">
        <v>0.35335899999999998</v>
      </c>
      <c r="J23" s="5">
        <f t="shared" si="4"/>
        <v>1.5171886761013279E-2</v>
      </c>
      <c r="K23" s="5">
        <v>5.9355999999999999E-2</v>
      </c>
      <c r="L23" s="5">
        <f t="shared" si="5"/>
        <v>4.7693013732481304E-2</v>
      </c>
    </row>
    <row r="24" spans="1:12" x14ac:dyDescent="0.25">
      <c r="A24" s="4">
        <f t="shared" si="0"/>
        <v>21</v>
      </c>
      <c r="B24" s="4" t="s">
        <v>11</v>
      </c>
      <c r="C24" s="4">
        <f>3</f>
        <v>3</v>
      </c>
      <c r="D24" s="4" t="str">
        <f t="shared" si="8"/>
        <v>centroid</v>
      </c>
      <c r="E24" s="6">
        <v>0.33401900000000001</v>
      </c>
      <c r="F24" s="5">
        <f t="shared" si="2"/>
        <v>1.4037857283808245E-2</v>
      </c>
      <c r="G24" s="5">
        <v>7.1063000000000001E-2</v>
      </c>
      <c r="H24" s="5">
        <f t="shared" si="3"/>
        <v>3.3538403362566756E-2</v>
      </c>
      <c r="I24" s="6">
        <v>0.35237800000000002</v>
      </c>
      <c r="J24" s="5">
        <f t="shared" si="4"/>
        <v>1.2353552939283799E-2</v>
      </c>
      <c r="K24" s="5">
        <v>5.8376999999999998E-2</v>
      </c>
      <c r="L24" s="5">
        <f t="shared" si="5"/>
        <v>3.0412680481519315E-2</v>
      </c>
    </row>
    <row r="25" spans="1:12" x14ac:dyDescent="0.25">
      <c r="A25" s="4">
        <f t="shared" si="0"/>
        <v>22</v>
      </c>
      <c r="B25" s="4" t="s">
        <v>11</v>
      </c>
      <c r="C25" s="4">
        <f>5</f>
        <v>5</v>
      </c>
      <c r="D25" s="4" t="str">
        <f t="shared" si="8"/>
        <v>centroid</v>
      </c>
      <c r="E25" s="6">
        <v>0.331451</v>
      </c>
      <c r="F25" s="5">
        <f t="shared" si="2"/>
        <v>6.2417462317278715E-3</v>
      </c>
      <c r="G25" s="5">
        <v>6.9528999999999994E-2</v>
      </c>
      <c r="H25" s="5">
        <f t="shared" si="3"/>
        <v>1.1227947699870485E-2</v>
      </c>
      <c r="I25" s="6">
        <v>0.35039599999999999</v>
      </c>
      <c r="J25" s="5">
        <f t="shared" si="4"/>
        <v>6.6594269100603504E-3</v>
      </c>
      <c r="K25" s="5">
        <v>5.7417999999999997E-2</v>
      </c>
      <c r="L25" s="5">
        <f t="shared" si="5"/>
        <v>1.348536731740025E-2</v>
      </c>
    </row>
    <row r="26" spans="1:12" x14ac:dyDescent="0.25">
      <c r="A26" s="4">
        <f t="shared" si="0"/>
        <v>23</v>
      </c>
      <c r="B26" s="4" t="s">
        <v>11</v>
      </c>
      <c r="C26" s="4">
        <f>7.5</f>
        <v>7.5</v>
      </c>
      <c r="D26" s="4" t="str">
        <f t="shared" si="8"/>
        <v>centroid</v>
      </c>
      <c r="E26" s="6">
        <v>0.32999099999999998</v>
      </c>
      <c r="F26" s="5">
        <f t="shared" si="2"/>
        <v>1.8093777986914964E-3</v>
      </c>
      <c r="G26" s="5">
        <v>6.8636000000000003E-2</v>
      </c>
      <c r="H26" s="5">
        <f t="shared" si="3"/>
        <v>-1.7598208182439041E-3</v>
      </c>
      <c r="I26" s="6">
        <v>0.34928900000000002</v>
      </c>
      <c r="J26" s="5">
        <f t="shared" si="4"/>
        <v>3.4791052580169317E-3</v>
      </c>
      <c r="K26" s="5">
        <v>5.6739999999999999E-2</v>
      </c>
      <c r="L26" s="5">
        <f t="shared" si="5"/>
        <v>1.5179863734245736E-3</v>
      </c>
    </row>
    <row r="27" spans="1:12" ht="15.75" customHeight="1" thickBot="1" x14ac:dyDescent="0.3">
      <c r="A27" s="4">
        <f t="shared" si="0"/>
        <v>24</v>
      </c>
      <c r="B27" s="4" t="s">
        <v>11</v>
      </c>
      <c r="C27" s="4">
        <f>12</f>
        <v>12</v>
      </c>
      <c r="D27" s="4" t="str">
        <f t="shared" si="8"/>
        <v>centroid</v>
      </c>
      <c r="E27" s="6">
        <v>0.32963599999999998</v>
      </c>
      <c r="F27" s="5">
        <f t="shared" si="2"/>
        <v>7.3164437832994196E-4</v>
      </c>
      <c r="G27" s="5">
        <v>6.8752999999999995E-2</v>
      </c>
      <c r="H27" s="5">
        <f t="shared" si="3"/>
        <v>-5.8175894818040355E-5</v>
      </c>
      <c r="I27" s="6">
        <v>0.348659</v>
      </c>
      <c r="J27" s="5">
        <f t="shared" si="4"/>
        <v>1.6691661064474003E-3</v>
      </c>
      <c r="K27" s="5">
        <v>5.6681000000000002E-2</v>
      </c>
      <c r="L27" s="5">
        <f t="shared" si="5"/>
        <v>4.7657711723795752E-4</v>
      </c>
    </row>
    <row r="28" spans="1:12" x14ac:dyDescent="0.25">
      <c r="A28" s="4">
        <f t="shared" si="0"/>
        <v>25</v>
      </c>
      <c r="B28" s="4" t="s">
        <v>11</v>
      </c>
      <c r="C28" s="4">
        <f>1.5</f>
        <v>1.5</v>
      </c>
      <c r="D28" s="4" t="str">
        <f t="shared" ref="D28:D33" si="9">"ward"</f>
        <v>ward</v>
      </c>
      <c r="E28" s="6">
        <v>0.33490999999999999</v>
      </c>
      <c r="F28" s="5">
        <f t="shared" si="2"/>
        <v>1.6742816375476227E-2</v>
      </c>
      <c r="G28" s="5">
        <v>7.2561E-2</v>
      </c>
      <c r="H28" s="5">
        <f t="shared" si="3"/>
        <v>5.5325275971901074E-2</v>
      </c>
      <c r="I28" s="6">
        <v>0.35309400000000002</v>
      </c>
      <c r="J28" s="5">
        <f t="shared" si="4"/>
        <v>1.4410563149638933E-2</v>
      </c>
      <c r="K28" s="5">
        <v>5.9555999999999998E-2</v>
      </c>
      <c r="L28" s="5">
        <f t="shared" si="5"/>
        <v>5.1223214600910699E-2</v>
      </c>
    </row>
    <row r="29" spans="1:12" x14ac:dyDescent="0.25">
      <c r="A29" s="4">
        <f t="shared" si="0"/>
        <v>26</v>
      </c>
      <c r="B29" s="4" t="s">
        <v>11</v>
      </c>
      <c r="C29" s="4">
        <f>2</f>
        <v>2</v>
      </c>
      <c r="D29" s="4" t="str">
        <f t="shared" si="9"/>
        <v>ward</v>
      </c>
      <c r="E29" s="6">
        <v>0.334951</v>
      </c>
      <c r="F29" s="5">
        <f t="shared" si="2"/>
        <v>1.6867286995856056E-2</v>
      </c>
      <c r="G29" s="5">
        <v>7.2472999999999996E-2</v>
      </c>
      <c r="H29" s="5">
        <f t="shared" si="3"/>
        <v>5.4045406285905394E-2</v>
      </c>
      <c r="I29" s="6">
        <v>0.35316599999999998</v>
      </c>
      <c r="J29" s="5">
        <f t="shared" si="4"/>
        <v>1.4617413338389618E-2</v>
      </c>
      <c r="K29" s="5">
        <v>5.9521999999999999E-2</v>
      </c>
      <c r="L29" s="5">
        <f t="shared" si="5"/>
        <v>5.0623080453277708E-2</v>
      </c>
    </row>
    <row r="30" spans="1:12" x14ac:dyDescent="0.25">
      <c r="A30" s="4">
        <f t="shared" si="0"/>
        <v>27</v>
      </c>
      <c r="B30" s="4" t="s">
        <v>11</v>
      </c>
      <c r="C30" s="4">
        <f>3</f>
        <v>3</v>
      </c>
      <c r="D30" s="4" t="str">
        <f t="shared" si="9"/>
        <v>ward</v>
      </c>
      <c r="E30" s="6">
        <v>0.33504800000000001</v>
      </c>
      <c r="F30" s="5">
        <f t="shared" si="2"/>
        <v>1.7161766268461935E-2</v>
      </c>
      <c r="G30" s="5">
        <v>7.2112999999999997E-2</v>
      </c>
      <c r="H30" s="5">
        <f t="shared" si="3"/>
        <v>4.8809575752287011E-2</v>
      </c>
      <c r="I30" s="6">
        <v>0.35333100000000001</v>
      </c>
      <c r="J30" s="5">
        <f t="shared" si="4"/>
        <v>1.5091445020943603E-2</v>
      </c>
      <c r="K30" s="5">
        <v>5.9318999999999997E-2</v>
      </c>
      <c r="L30" s="5">
        <f t="shared" si="5"/>
        <v>4.7039926571821822E-2</v>
      </c>
    </row>
    <row r="31" spans="1:12" x14ac:dyDescent="0.25">
      <c r="A31" s="4">
        <f t="shared" si="0"/>
        <v>28</v>
      </c>
      <c r="B31" s="4" t="s">
        <v>11</v>
      </c>
      <c r="C31" s="4">
        <f>5</f>
        <v>5</v>
      </c>
      <c r="D31" s="4" t="str">
        <f t="shared" si="9"/>
        <v>ward</v>
      </c>
      <c r="E31" s="6">
        <v>0.334621</v>
      </c>
      <c r="F31" s="5">
        <f t="shared" si="2"/>
        <v>1.5865450295238264E-2</v>
      </c>
      <c r="G31" s="5">
        <v>7.1244000000000002E-2</v>
      </c>
      <c r="H31" s="5">
        <f t="shared" si="3"/>
        <v>3.6170862603080459E-2</v>
      </c>
      <c r="I31" s="6">
        <v>0.35302499999999998</v>
      </c>
      <c r="J31" s="5">
        <f t="shared" si="4"/>
        <v>1.4212331718752634E-2</v>
      </c>
      <c r="K31" s="5">
        <v>5.8702999999999998E-2</v>
      </c>
      <c r="L31" s="5">
        <f t="shared" si="5"/>
        <v>3.6166907897059258E-2</v>
      </c>
    </row>
    <row r="32" spans="1:12" x14ac:dyDescent="0.25">
      <c r="A32" s="4">
        <f t="shared" si="0"/>
        <v>29</v>
      </c>
      <c r="B32" s="4" t="s">
        <v>11</v>
      </c>
      <c r="C32" s="4">
        <f>7.5</f>
        <v>7.5</v>
      </c>
      <c r="D32" s="4" t="str">
        <f t="shared" si="9"/>
        <v>ward</v>
      </c>
      <c r="E32" s="6">
        <v>0.33337600000000001</v>
      </c>
      <c r="F32" s="5">
        <f t="shared" si="2"/>
        <v>1.2085793651998399E-2</v>
      </c>
      <c r="G32" s="5">
        <v>7.0335999999999996E-2</v>
      </c>
      <c r="H32" s="5">
        <f t="shared" si="3"/>
        <v>2.296493447939842E-2</v>
      </c>
      <c r="I32" s="6">
        <v>0.35219400000000001</v>
      </c>
      <c r="J32" s="5">
        <f t="shared" si="4"/>
        <v>1.1824935790253933E-2</v>
      </c>
      <c r="K32" s="5">
        <v>5.7993000000000003E-2</v>
      </c>
      <c r="L32" s="5">
        <f t="shared" si="5"/>
        <v>2.363469481413492E-2</v>
      </c>
    </row>
    <row r="33" spans="1:12" ht="15.75" customHeight="1" thickBot="1" x14ac:dyDescent="0.3">
      <c r="A33" s="4">
        <f t="shared" si="0"/>
        <v>30</v>
      </c>
      <c r="B33" s="4" t="s">
        <v>11</v>
      </c>
      <c r="C33" s="4">
        <f>12</f>
        <v>12</v>
      </c>
      <c r="D33" s="4" t="str">
        <f t="shared" si="9"/>
        <v>ward</v>
      </c>
      <c r="E33" s="6">
        <v>0.33205099999999999</v>
      </c>
      <c r="F33" s="5">
        <f t="shared" si="2"/>
        <v>8.0632675055783837E-3</v>
      </c>
      <c r="G33" s="5">
        <v>6.9447999999999996E-2</v>
      </c>
      <c r="H33" s="5">
        <f t="shared" si="3"/>
        <v>1.004988582980638E-2</v>
      </c>
      <c r="I33" s="6">
        <v>0.35130800000000001</v>
      </c>
      <c r="J33" s="5">
        <f t="shared" si="4"/>
        <v>9.2795293009038504E-3</v>
      </c>
      <c r="K33" s="5">
        <v>5.7251000000000003E-2</v>
      </c>
      <c r="L33" s="5">
        <f t="shared" si="5"/>
        <v>1.0537649592261805E-2</v>
      </c>
    </row>
    <row r="34" spans="1:12" x14ac:dyDescent="0.25">
      <c r="A34" s="4">
        <f t="shared" si="0"/>
        <v>31</v>
      </c>
      <c r="B34" s="4" t="s">
        <v>11</v>
      </c>
      <c r="C34" s="4" t="s">
        <v>12</v>
      </c>
      <c r="D34" s="4" t="s">
        <v>13</v>
      </c>
      <c r="E34" s="6">
        <v>0.331617</v>
      </c>
      <c r="F34" s="5">
        <f t="shared" si="2"/>
        <v>6.7457004508265205E-3</v>
      </c>
      <c r="G34" s="5">
        <v>6.9750000000000006E-2</v>
      </c>
      <c r="H34" s="5">
        <f t="shared" si="3"/>
        <v>1.4442165888564187E-2</v>
      </c>
      <c r="I34" s="6">
        <v>0.350267</v>
      </c>
      <c r="J34" s="5">
        <f t="shared" si="4"/>
        <v>6.2888203218818672E-3</v>
      </c>
      <c r="K34" s="5">
        <v>5.7377999999999998E-2</v>
      </c>
      <c r="L34" s="5">
        <f t="shared" si="5"/>
        <v>1.2779327143714396E-2</v>
      </c>
    </row>
    <row r="35" spans="1:12" x14ac:dyDescent="0.25">
      <c r="A35" s="4">
        <f t="shared" si="0"/>
        <v>32</v>
      </c>
      <c r="B35" s="4" t="s">
        <v>11</v>
      </c>
      <c r="C35" s="4" t="s">
        <v>12</v>
      </c>
      <c r="D35" s="4" t="s">
        <v>14</v>
      </c>
      <c r="E35" s="6">
        <v>0.334013</v>
      </c>
      <c r="F35" s="5">
        <f t="shared" si="2"/>
        <v>1.4019642071069722E-2</v>
      </c>
      <c r="G35" s="5">
        <v>7.0777000000000007E-2</v>
      </c>
      <c r="H35" s="5">
        <f t="shared" si="3"/>
        <v>2.9378826883081112E-2</v>
      </c>
      <c r="I35" s="6">
        <v>0.35232000000000002</v>
      </c>
      <c r="J35" s="5">
        <f t="shared" si="4"/>
        <v>1.2186923620567872E-2</v>
      </c>
      <c r="K35" s="5">
        <v>5.8124000000000002E-2</v>
      </c>
      <c r="L35" s="5">
        <f t="shared" si="5"/>
        <v>2.5946976382956174E-2</v>
      </c>
    </row>
    <row r="36" spans="1:12" x14ac:dyDescent="0.25">
      <c r="A36" s="4">
        <f t="shared" si="0"/>
        <v>33</v>
      </c>
      <c r="B36" s="4" t="s">
        <v>11</v>
      </c>
      <c r="C36" s="4" t="s">
        <v>15</v>
      </c>
      <c r="D36" s="4" t="s">
        <v>13</v>
      </c>
      <c r="E36" s="6">
        <v>0.32976699999999998</v>
      </c>
      <c r="F36" s="5">
        <f t="shared" si="2"/>
        <v>1.1293431897872871E-3</v>
      </c>
      <c r="G36" s="5">
        <v>6.8874000000000005E-2</v>
      </c>
      <c r="H36" s="5">
        <f t="shared" si="3"/>
        <v>1.7016449234260656E-3</v>
      </c>
      <c r="I36" s="6">
        <v>0.34839399999999998</v>
      </c>
      <c r="J36" s="5">
        <f t="shared" si="4"/>
        <v>9.0784249507289442E-4</v>
      </c>
      <c r="K36" s="5">
        <v>5.6644E-2</v>
      </c>
      <c r="L36" s="5">
        <f t="shared" si="5"/>
        <v>-1.7651004342152473E-4</v>
      </c>
    </row>
    <row r="37" spans="1:12" x14ac:dyDescent="0.25">
      <c r="A37" s="4">
        <f t="shared" si="0"/>
        <v>34</v>
      </c>
      <c r="B37" s="4" t="s">
        <v>11</v>
      </c>
      <c r="C37" s="4" t="s">
        <v>15</v>
      </c>
      <c r="D37" s="4" t="s">
        <v>14</v>
      </c>
      <c r="E37" s="6">
        <v>0.33334200000000003</v>
      </c>
      <c r="F37" s="5">
        <f t="shared" si="2"/>
        <v>1.1982574113146932E-2</v>
      </c>
      <c r="G37" s="5">
        <v>7.0428000000000004E-2</v>
      </c>
      <c r="H37" s="5">
        <f t="shared" si="3"/>
        <v>2.4302980060212136E-2</v>
      </c>
      <c r="I37" s="6">
        <v>0.35145100000000001</v>
      </c>
      <c r="J37" s="5">
        <f t="shared" si="4"/>
        <v>9.6903567591172524E-3</v>
      </c>
      <c r="K37" s="5">
        <v>5.7426999999999999E-2</v>
      </c>
      <c r="L37" s="5">
        <f t="shared" si="5"/>
        <v>1.364422635647961E-2</v>
      </c>
    </row>
    <row r="38" spans="1:12" x14ac:dyDescent="0.25">
      <c r="A38" s="4">
        <f t="shared" si="0"/>
        <v>35</v>
      </c>
      <c r="B38" s="4" t="s">
        <v>11</v>
      </c>
      <c r="C38" s="4" t="s">
        <v>16</v>
      </c>
      <c r="D38" s="4" t="s">
        <v>13</v>
      </c>
      <c r="E38" s="6">
        <v>0.33004699999999998</v>
      </c>
      <c r="F38" s="5">
        <f t="shared" si="2"/>
        <v>1.9793864509175486E-3</v>
      </c>
      <c r="G38" s="5">
        <v>6.8934999999999996E-2</v>
      </c>
      <c r="H38" s="5">
        <f t="shared" si="3"/>
        <v>2.5888273194001718E-3</v>
      </c>
      <c r="I38" s="6">
        <v>0.34848000000000001</v>
      </c>
      <c r="J38" s="5">
        <f t="shared" si="4"/>
        <v>1.1549135538586567E-3</v>
      </c>
      <c r="K38" s="5">
        <v>5.6693E-2</v>
      </c>
      <c r="L38" s="5">
        <f t="shared" si="5"/>
        <v>6.8838916934368922E-4</v>
      </c>
    </row>
    <row r="39" spans="1:12" x14ac:dyDescent="0.25">
      <c r="A39" s="4">
        <f t="shared" si="0"/>
        <v>36</v>
      </c>
      <c r="B39" s="4" t="s">
        <v>11</v>
      </c>
      <c r="C39" s="4" t="s">
        <v>16</v>
      </c>
      <c r="D39" s="4" t="s">
        <v>14</v>
      </c>
      <c r="E39" s="6">
        <v>0.333706</v>
      </c>
      <c r="F39" s="5">
        <f t="shared" si="2"/>
        <v>1.3087630352616189E-2</v>
      </c>
      <c r="G39" s="5">
        <v>7.0527000000000006E-2</v>
      </c>
      <c r="H39" s="5">
        <f t="shared" si="3"/>
        <v>2.5742833456957222E-2</v>
      </c>
      <c r="I39" s="6">
        <v>0.35141499999999998</v>
      </c>
      <c r="J39" s="5">
        <f t="shared" si="4"/>
        <v>9.5869316647417494E-3</v>
      </c>
      <c r="K39" s="5">
        <v>5.7391999999999999E-2</v>
      </c>
      <c r="L39" s="5">
        <f t="shared" si="5"/>
        <v>1.3026441204504458E-2</v>
      </c>
    </row>
    <row r="40" spans="1:12" x14ac:dyDescent="0.25">
      <c r="A40" s="4">
        <f t="shared" si="0"/>
        <v>37</v>
      </c>
      <c r="B40" s="4" t="s">
        <v>11</v>
      </c>
      <c r="C40" s="4" t="s">
        <v>17</v>
      </c>
      <c r="D40" s="4" t="s">
        <v>13</v>
      </c>
      <c r="E40" s="6">
        <v>0.32975199999999999</v>
      </c>
      <c r="F40" s="5">
        <f t="shared" si="2"/>
        <v>1.0838051579410623E-3</v>
      </c>
      <c r="G40" s="5">
        <v>6.8862999999999994E-2</v>
      </c>
      <c r="H40" s="5">
        <f t="shared" si="3"/>
        <v>1.5416612126764545E-3</v>
      </c>
      <c r="I40" s="6">
        <v>0.34833700000000001</v>
      </c>
      <c r="J40" s="5">
        <f t="shared" si="4"/>
        <v>7.4408609564525542E-4</v>
      </c>
      <c r="K40" s="5">
        <v>5.6656999999999999E-2</v>
      </c>
      <c r="L40" s="5">
        <f t="shared" si="5"/>
        <v>5.2953013026371681E-5</v>
      </c>
    </row>
    <row r="41" spans="1:12" x14ac:dyDescent="0.25">
      <c r="A41" s="4">
        <f t="shared" si="0"/>
        <v>38</v>
      </c>
      <c r="B41" s="4" t="s">
        <v>11</v>
      </c>
      <c r="C41" s="4" t="s">
        <v>17</v>
      </c>
      <c r="D41" s="4" t="s">
        <v>14</v>
      </c>
      <c r="E41" s="6">
        <v>0.33386700000000002</v>
      </c>
      <c r="F41" s="5">
        <f t="shared" si="2"/>
        <v>1.3576405227766151E-2</v>
      </c>
      <c r="G41" s="5">
        <v>7.1085999999999996E-2</v>
      </c>
      <c r="H41" s="5">
        <f t="shared" si="3"/>
        <v>3.3872914757770087E-2</v>
      </c>
      <c r="I41" s="6">
        <v>0.35150700000000001</v>
      </c>
      <c r="J41" s="5">
        <f t="shared" si="4"/>
        <v>9.8512402392567627E-3</v>
      </c>
      <c r="K41" s="5">
        <v>5.7704999999999999E-2</v>
      </c>
      <c r="L41" s="5">
        <f t="shared" si="5"/>
        <v>1.8551205563596504E-2</v>
      </c>
    </row>
    <row r="42" spans="1:12" x14ac:dyDescent="0.25">
      <c r="A42" s="4">
        <f t="shared" si="0"/>
        <v>39</v>
      </c>
      <c r="B42" s="4" t="s">
        <v>11</v>
      </c>
      <c r="C42" s="4" t="s">
        <v>18</v>
      </c>
      <c r="D42" s="4" t="s">
        <v>13</v>
      </c>
      <c r="E42" s="6">
        <v>0.32972499999999999</v>
      </c>
      <c r="F42" s="5">
        <f t="shared" si="2"/>
        <v>1.00183670061779E-3</v>
      </c>
      <c r="G42" s="5">
        <v>6.8848000000000006E-2</v>
      </c>
      <c r="H42" s="5">
        <f t="shared" si="3"/>
        <v>1.323501607109207E-3</v>
      </c>
      <c r="I42" s="6">
        <v>0.34833700000000001</v>
      </c>
      <c r="J42" s="5">
        <f t="shared" si="4"/>
        <v>7.4408609564525542E-4</v>
      </c>
      <c r="K42" s="5">
        <v>5.6633000000000003E-2</v>
      </c>
      <c r="L42" s="5">
        <f t="shared" si="5"/>
        <v>-3.7067109118509169E-4</v>
      </c>
    </row>
    <row r="43" spans="1:12" x14ac:dyDescent="0.25">
      <c r="A43" s="4">
        <f t="shared" si="0"/>
        <v>40</v>
      </c>
      <c r="B43" s="4" t="s">
        <v>11</v>
      </c>
      <c r="C43" s="4" t="s">
        <v>18</v>
      </c>
      <c r="D43" s="4" t="s">
        <v>14</v>
      </c>
      <c r="E43" s="6">
        <v>0.33396900000000002</v>
      </c>
      <c r="F43" s="5">
        <f t="shared" si="2"/>
        <v>1.3886063844320716E-2</v>
      </c>
      <c r="G43" s="5">
        <v>7.1175000000000002E-2</v>
      </c>
      <c r="H43" s="5">
        <f t="shared" si="3"/>
        <v>3.5167328417470271E-2</v>
      </c>
      <c r="I43" s="6">
        <v>0.35150999999999999</v>
      </c>
      <c r="J43" s="5">
        <f t="shared" si="4"/>
        <v>9.8598589971213083E-3</v>
      </c>
      <c r="K43" s="5">
        <v>5.7682999999999998E-2</v>
      </c>
      <c r="L43" s="5">
        <f t="shared" si="5"/>
        <v>1.8162883468069248E-2</v>
      </c>
    </row>
    <row r="44" spans="1:12" x14ac:dyDescent="0.25">
      <c r="A44" s="4">
        <f t="shared" si="0"/>
        <v>41</v>
      </c>
      <c r="B44" s="4" t="s">
        <v>11</v>
      </c>
      <c r="C44" s="4" t="s">
        <v>19</v>
      </c>
      <c r="D44" s="4" t="s">
        <v>13</v>
      </c>
      <c r="E44" s="6">
        <v>0.32963900000000002</v>
      </c>
      <c r="F44" s="5">
        <f t="shared" si="2"/>
        <v>7.4075198469928803E-4</v>
      </c>
      <c r="G44" s="5">
        <v>6.8828E-2</v>
      </c>
      <c r="H44" s="5">
        <f t="shared" si="3"/>
        <v>1.0326221330192069E-3</v>
      </c>
      <c r="I44" s="6">
        <v>0.348244</v>
      </c>
      <c r="J44" s="5">
        <f t="shared" si="4"/>
        <v>4.7690460184211434E-4</v>
      </c>
      <c r="K44" s="5">
        <v>5.6640999999999997E-2</v>
      </c>
      <c r="L44" s="5">
        <f t="shared" si="5"/>
        <v>-2.2946305644801888E-4</v>
      </c>
    </row>
    <row r="45" spans="1:12" x14ac:dyDescent="0.25">
      <c r="A45" s="4">
        <f t="shared" si="0"/>
        <v>42</v>
      </c>
      <c r="B45" s="4" t="s">
        <v>11</v>
      </c>
      <c r="C45" s="4" t="s">
        <v>19</v>
      </c>
      <c r="D45" s="4" t="s">
        <v>14</v>
      </c>
      <c r="E45" s="6">
        <v>0.33421899999999999</v>
      </c>
      <c r="F45" s="5">
        <f t="shared" si="2"/>
        <v>1.464503104175836E-2</v>
      </c>
      <c r="G45" s="5">
        <v>7.1684999999999999E-2</v>
      </c>
      <c r="H45" s="5">
        <f t="shared" si="3"/>
        <v>4.2584755006762946E-2</v>
      </c>
      <c r="I45" s="6">
        <v>0.351746</v>
      </c>
      <c r="J45" s="5">
        <f t="shared" si="4"/>
        <v>1.0537867949137851E-2</v>
      </c>
      <c r="K45" s="5">
        <v>5.8206000000000001E-2</v>
      </c>
      <c r="L45" s="5">
        <f t="shared" si="5"/>
        <v>2.739435873901221E-2</v>
      </c>
    </row>
    <row r="46" spans="1:12" x14ac:dyDescent="0.25">
      <c r="A46" s="4">
        <f t="shared" si="0"/>
        <v>43</v>
      </c>
      <c r="B46" s="4" t="s">
        <v>11</v>
      </c>
      <c r="C46" s="4" t="s">
        <v>20</v>
      </c>
      <c r="D46" s="4" t="s">
        <v>13</v>
      </c>
      <c r="E46" s="6">
        <v>0.32957399999999998</v>
      </c>
      <c r="F46" s="5">
        <f t="shared" si="2"/>
        <v>5.4342051336536603E-4</v>
      </c>
      <c r="G46" s="5">
        <v>6.8798999999999999E-2</v>
      </c>
      <c r="H46" s="5">
        <f t="shared" si="3"/>
        <v>6.1084689558881813E-4</v>
      </c>
      <c r="I46" s="6">
        <v>0.34819499999999998</v>
      </c>
      <c r="J46" s="5">
        <f t="shared" si="4"/>
        <v>3.3613155671998298E-4</v>
      </c>
      <c r="K46" s="5">
        <v>5.6610000000000001E-2</v>
      </c>
      <c r="L46" s="5">
        <f t="shared" si="5"/>
        <v>-7.7664419105451276E-4</v>
      </c>
    </row>
    <row r="47" spans="1:12" x14ac:dyDescent="0.25">
      <c r="A47" s="4">
        <f t="shared" si="0"/>
        <v>44</v>
      </c>
      <c r="B47" s="4" t="s">
        <v>11</v>
      </c>
      <c r="C47" s="4" t="s">
        <v>20</v>
      </c>
      <c r="D47" s="4" t="s">
        <v>14</v>
      </c>
      <c r="E47" s="6">
        <v>0.33448600000000001</v>
      </c>
      <c r="F47" s="5">
        <f t="shared" si="2"/>
        <v>1.5455608008621904E-2</v>
      </c>
      <c r="G47" s="5">
        <v>7.1938000000000002E-2</v>
      </c>
      <c r="H47" s="5">
        <f t="shared" si="3"/>
        <v>4.6264380354000371E-2</v>
      </c>
      <c r="I47" s="6">
        <v>0.35190199999999999</v>
      </c>
      <c r="J47" s="5">
        <f t="shared" si="4"/>
        <v>1.098604335809788E-2</v>
      </c>
      <c r="K47" s="5">
        <v>5.8455E-2</v>
      </c>
      <c r="L47" s="5">
        <f t="shared" si="5"/>
        <v>3.1789458820206819E-2</v>
      </c>
    </row>
    <row r="48" spans="1:12" x14ac:dyDescent="0.25">
      <c r="A48" s="4">
        <f t="shared" si="0"/>
        <v>45</v>
      </c>
      <c r="B48" s="4" t="s">
        <v>11</v>
      </c>
      <c r="C48" s="4" t="s">
        <v>21</v>
      </c>
      <c r="D48" s="4" t="s">
        <v>13</v>
      </c>
      <c r="E48" s="6">
        <v>0.32950600000000002</v>
      </c>
      <c r="F48" s="5">
        <f t="shared" si="2"/>
        <v>3.3698143566243492E-4</v>
      </c>
      <c r="G48" s="5">
        <v>6.8784999999999999E-2</v>
      </c>
      <c r="H48" s="5">
        <f t="shared" si="3"/>
        <v>4.0723126372587879E-4</v>
      </c>
      <c r="I48" s="6">
        <v>0.34812199999999999</v>
      </c>
      <c r="J48" s="5">
        <f t="shared" si="4"/>
        <v>1.2640844868100969E-4</v>
      </c>
      <c r="K48" s="5">
        <v>5.6612999999999997E-2</v>
      </c>
      <c r="L48" s="5">
        <f t="shared" si="5"/>
        <v>-7.236911780281411E-4</v>
      </c>
    </row>
    <row r="49" spans="1:12" x14ac:dyDescent="0.25">
      <c r="A49" s="4">
        <f t="shared" si="0"/>
        <v>46</v>
      </c>
      <c r="B49" s="4" t="s">
        <v>11</v>
      </c>
      <c r="C49" s="4" t="s">
        <v>21</v>
      </c>
      <c r="D49" s="4" t="s">
        <v>14</v>
      </c>
      <c r="E49" s="6">
        <v>0.33446999999999999</v>
      </c>
      <c r="F49" s="5">
        <f t="shared" si="2"/>
        <v>1.5407034107985841E-2</v>
      </c>
      <c r="G49" s="5">
        <v>7.2139999999999996E-2</v>
      </c>
      <c r="H49" s="5">
        <f t="shared" si="3"/>
        <v>4.9202263042308375E-2</v>
      </c>
      <c r="I49" s="6">
        <v>0.352074</v>
      </c>
      <c r="J49" s="5">
        <f t="shared" si="4"/>
        <v>1.1480185475669246E-2</v>
      </c>
      <c r="K49" s="5">
        <v>5.8744999999999999E-2</v>
      </c>
      <c r="L49" s="5">
        <f t="shared" si="5"/>
        <v>3.6908250079429439E-2</v>
      </c>
    </row>
    <row r="50" spans="1:12" x14ac:dyDescent="0.25">
      <c r="A50" s="2" t="s">
        <v>22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</row>
    <row r="51" spans="1:12" x14ac:dyDescent="0.25">
      <c r="A51" s="2" t="s">
        <v>23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</row>
  </sheetData>
  <mergeCells count="8">
    <mergeCell ref="I1:L1"/>
    <mergeCell ref="A51:L51"/>
    <mergeCell ref="C1:C2"/>
    <mergeCell ref="B1:B2"/>
    <mergeCell ref="D1:D2"/>
    <mergeCell ref="E1:H1"/>
    <mergeCell ref="A50:L50"/>
    <mergeCell ref="A1:A2"/>
  </mergeCells>
  <conditionalFormatting sqref="E3:E3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3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I3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K3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:E49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4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I4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K4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</dc:creator>
  <cp:lastModifiedBy>Andrew</cp:lastModifiedBy>
  <dcterms:created xsi:type="dcterms:W3CDTF">2026-06-20T11:37:29Z</dcterms:created>
  <dcterms:modified xsi:type="dcterms:W3CDTF">2026-06-20T18:40:48Z</dcterms:modified>
</cp:coreProperties>
</file>